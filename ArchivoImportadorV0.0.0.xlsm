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dmin\Escritorio\"/>
    </mc:Choice>
  </mc:AlternateContent>
  <bookViews>
    <workbookView xWindow="0" yWindow="6885" windowWidth="20490" windowHeight="7950"/>
  </bookViews>
  <sheets>
    <sheet name="Importador" sheetId="30" r:id="rId1"/>
    <sheet name="LUNES" sheetId="15" r:id="rId2"/>
    <sheet name="MARTES" sheetId="3" r:id="rId3"/>
    <sheet name="MIERCOLES" sheetId="4" r:id="rId4"/>
    <sheet name="JUEVES" sheetId="5" r:id="rId5"/>
    <sheet name="VIERNES" sheetId="6" r:id="rId6"/>
    <sheet name="SABADO" sheetId="7" r:id="rId7"/>
    <sheet name="DOMINGO" sheetId="8" r:id="rId8"/>
  </sheets>
  <definedNames>
    <definedName name="llenadopersonas">#REF!</definedName>
    <definedName name="montos">#REF!</definedName>
  </definedNames>
  <calcPr calcId="152511"/>
</workbook>
</file>

<file path=xl/calcChain.xml><?xml version="1.0" encoding="utf-8"?>
<calcChain xmlns="http://schemas.openxmlformats.org/spreadsheetml/2006/main">
  <c r="A507" i="30" l="1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410" i="30"/>
  <c r="A409" i="30"/>
  <c r="A408" i="30"/>
  <c r="A407" i="30"/>
  <c r="A406" i="30"/>
  <c r="A405" i="30"/>
  <c r="A404" i="30"/>
  <c r="A403" i="30"/>
  <c r="A402" i="30"/>
  <c r="A401" i="30"/>
  <c r="A400" i="30"/>
  <c r="A399" i="30"/>
  <c r="A398" i="30"/>
  <c r="A397" i="30"/>
  <c r="A396" i="30"/>
  <c r="A395" i="30"/>
  <c r="A394" i="30"/>
  <c r="A393" i="30"/>
  <c r="A392" i="30"/>
  <c r="A391" i="30"/>
  <c r="A390" i="30"/>
  <c r="A389" i="30"/>
  <c r="A388" i="30"/>
  <c r="A387" i="30"/>
  <c r="A386" i="30"/>
  <c r="A385" i="30"/>
  <c r="A384" i="30"/>
  <c r="A383" i="30"/>
  <c r="A382" i="30"/>
  <c r="A381" i="30"/>
  <c r="A380" i="30"/>
  <c r="A379" i="30"/>
  <c r="A378" i="30"/>
  <c r="A377" i="30"/>
  <c r="A376" i="30"/>
  <c r="A375" i="30"/>
  <c r="A374" i="30"/>
  <c r="A373" i="30"/>
  <c r="A372" i="30"/>
  <c r="A371" i="30"/>
  <c r="A370" i="30"/>
  <c r="A369" i="30"/>
  <c r="A368" i="30"/>
  <c r="A367" i="30"/>
  <c r="A366" i="30"/>
  <c r="A365" i="30"/>
  <c r="A364" i="30"/>
  <c r="A363" i="30"/>
  <c r="A362" i="30"/>
  <c r="A361" i="30"/>
  <c r="A360" i="30"/>
  <c r="A359" i="30"/>
  <c r="A358" i="30"/>
  <c r="A357" i="30"/>
  <c r="A356" i="30"/>
  <c r="A355" i="30"/>
  <c r="A354" i="30"/>
  <c r="A353" i="30"/>
  <c r="A352" i="30"/>
  <c r="A351" i="30"/>
  <c r="A350" i="30"/>
  <c r="A349" i="30"/>
  <c r="A348" i="30"/>
  <c r="A347" i="30"/>
  <c r="A346" i="30"/>
  <c r="A345" i="30"/>
  <c r="A344" i="30"/>
  <c r="A343" i="30"/>
  <c r="A342" i="30"/>
  <c r="A341" i="30"/>
  <c r="A340" i="30"/>
  <c r="A339" i="30"/>
  <c r="A338" i="30"/>
  <c r="A337" i="30"/>
  <c r="A336" i="30"/>
  <c r="A335" i="30"/>
  <c r="A334" i="30"/>
  <c r="A333" i="30"/>
  <c r="A332" i="30"/>
  <c r="A331" i="30"/>
  <c r="A330" i="30"/>
  <c r="A329" i="30"/>
  <c r="A328" i="30"/>
  <c r="A327" i="30"/>
  <c r="A326" i="30"/>
  <c r="A325" i="30"/>
  <c r="A324" i="30"/>
  <c r="A323" i="30"/>
  <c r="A322" i="30"/>
  <c r="A321" i="30"/>
  <c r="A320" i="30"/>
  <c r="A319" i="30"/>
  <c r="A318" i="30"/>
  <c r="A317" i="30"/>
  <c r="A505" i="30"/>
  <c r="A504" i="30"/>
  <c r="A503" i="30"/>
  <c r="A502" i="30"/>
  <c r="A501" i="30"/>
  <c r="A500" i="30"/>
  <c r="A499" i="30"/>
  <c r="A498" i="30"/>
  <c r="A497" i="30"/>
  <c r="A496" i="30"/>
  <c r="A495" i="30"/>
  <c r="A494" i="30"/>
  <c r="A493" i="30"/>
  <c r="A492" i="30"/>
  <c r="A491" i="30"/>
  <c r="A490" i="30"/>
  <c r="A489" i="30"/>
  <c r="A488" i="30"/>
  <c r="A487" i="30"/>
  <c r="A486" i="30"/>
  <c r="A485" i="30"/>
  <c r="A484" i="30"/>
  <c r="A483" i="30"/>
  <c r="A482" i="30"/>
  <c r="A481" i="30"/>
  <c r="A480" i="30"/>
  <c r="A479" i="30"/>
  <c r="A478" i="30"/>
  <c r="A477" i="30"/>
  <c r="A476" i="30"/>
  <c r="A475" i="30"/>
  <c r="A474" i="30"/>
  <c r="A473" i="30"/>
  <c r="A472" i="30"/>
  <c r="A471" i="30"/>
  <c r="A470" i="30"/>
  <c r="A469" i="30"/>
  <c r="A468" i="30"/>
  <c r="A467" i="30"/>
  <c r="A466" i="30"/>
  <c r="A465" i="30"/>
  <c r="A464" i="30"/>
  <c r="A463" i="30"/>
  <c r="A462" i="30"/>
  <c r="A461" i="30"/>
  <c r="A460" i="30"/>
  <c r="A459" i="30"/>
  <c r="A458" i="30"/>
  <c r="A457" i="30"/>
  <c r="A456" i="30"/>
  <c r="A455" i="30"/>
  <c r="A454" i="30"/>
  <c r="A453" i="30"/>
  <c r="A452" i="30"/>
  <c r="A451" i="30"/>
  <c r="A450" i="30"/>
  <c r="A449" i="30"/>
  <c r="A448" i="30"/>
  <c r="A447" i="30"/>
  <c r="A446" i="30"/>
  <c r="A445" i="30"/>
  <c r="A444" i="30"/>
  <c r="A443" i="30"/>
  <c r="A442" i="30"/>
  <c r="A441" i="30"/>
  <c r="A440" i="30"/>
  <c r="A439" i="30"/>
  <c r="A438" i="30"/>
  <c r="A437" i="30"/>
  <c r="A436" i="30"/>
  <c r="A435" i="30"/>
  <c r="A434" i="30"/>
  <c r="A433" i="30"/>
  <c r="A432" i="30"/>
  <c r="A431" i="30"/>
  <c r="A430" i="30"/>
  <c r="A429" i="30"/>
  <c r="A428" i="30"/>
  <c r="A427" i="30"/>
  <c r="A426" i="30"/>
  <c r="A425" i="30"/>
  <c r="A424" i="30"/>
  <c r="A423" i="30"/>
  <c r="A422" i="30"/>
  <c r="A421" i="30"/>
  <c r="A420" i="30"/>
  <c r="A419" i="30"/>
  <c r="A418" i="30"/>
  <c r="A417" i="30"/>
  <c r="A416" i="30"/>
  <c r="A415" i="30"/>
  <c r="A414" i="30"/>
  <c r="A413" i="30"/>
  <c r="A412" i="30"/>
  <c r="A315" i="30"/>
  <c r="A314" i="30"/>
  <c r="A313" i="30"/>
  <c r="A312" i="30"/>
  <c r="A311" i="30"/>
  <c r="A310" i="30"/>
  <c r="A309" i="30"/>
  <c r="A308" i="30"/>
  <c r="A307" i="30"/>
  <c r="A306" i="30"/>
  <c r="A305" i="30"/>
  <c r="A304" i="30"/>
  <c r="A303" i="30"/>
  <c r="A302" i="30"/>
  <c r="A301" i="30"/>
  <c r="A300" i="30"/>
  <c r="A299" i="30"/>
  <c r="A298" i="30"/>
  <c r="A297" i="30"/>
  <c r="A296" i="30"/>
  <c r="A295" i="30"/>
  <c r="A294" i="30"/>
  <c r="A293" i="30"/>
  <c r="A292" i="30"/>
  <c r="A291" i="30"/>
  <c r="A290" i="30"/>
  <c r="A289" i="30"/>
  <c r="A288" i="30"/>
  <c r="A287" i="30"/>
  <c r="A286" i="30"/>
  <c r="A285" i="30"/>
  <c r="A284" i="30"/>
  <c r="A283" i="30"/>
  <c r="A282" i="30"/>
  <c r="A281" i="30"/>
  <c r="A280" i="30"/>
  <c r="A279" i="30"/>
  <c r="A278" i="30"/>
  <c r="A277" i="30"/>
  <c r="A276" i="30"/>
  <c r="A275" i="30"/>
  <c r="A274" i="30"/>
  <c r="A273" i="30"/>
  <c r="A272" i="30"/>
  <c r="A271" i="30"/>
  <c r="A270" i="30"/>
  <c r="A269" i="30"/>
  <c r="A268" i="30"/>
  <c r="A267" i="30"/>
  <c r="A266" i="30"/>
  <c r="A265" i="30"/>
  <c r="A264" i="30"/>
  <c r="A263" i="30"/>
  <c r="A262" i="30"/>
  <c r="A261" i="30"/>
  <c r="A260" i="30"/>
  <c r="A259" i="30"/>
  <c r="A258" i="30"/>
  <c r="A257" i="30"/>
  <c r="A256" i="30"/>
  <c r="A255" i="30"/>
  <c r="A254" i="30"/>
  <c r="A253" i="30"/>
  <c r="A252" i="30"/>
  <c r="A251" i="30"/>
  <c r="A250" i="30"/>
  <c r="A249" i="30"/>
  <c r="A248" i="30"/>
  <c r="A247" i="30"/>
  <c r="A246" i="30"/>
  <c r="A245" i="30"/>
  <c r="A244" i="30"/>
  <c r="A243" i="30"/>
  <c r="A242" i="30"/>
  <c r="A241" i="30"/>
  <c r="A240" i="30"/>
  <c r="A239" i="30"/>
  <c r="A238" i="30"/>
  <c r="A237" i="30"/>
  <c r="A236" i="30"/>
  <c r="A235" i="30"/>
  <c r="A234" i="30"/>
  <c r="A233" i="30"/>
  <c r="A232" i="30"/>
  <c r="A231" i="30"/>
  <c r="A230" i="30"/>
  <c r="A229" i="30"/>
  <c r="A228" i="30"/>
  <c r="A227" i="30"/>
  <c r="A226" i="30"/>
  <c r="A225" i="30"/>
  <c r="A224" i="30"/>
  <c r="A223" i="30"/>
  <c r="A222" i="30"/>
  <c r="A220" i="30"/>
  <c r="A219" i="30"/>
  <c r="A218" i="30"/>
  <c r="A217" i="30"/>
  <c r="A216" i="30"/>
  <c r="A215" i="30"/>
  <c r="A214" i="30"/>
  <c r="A213" i="30"/>
  <c r="A212" i="30"/>
  <c r="A211" i="30"/>
  <c r="A210" i="30"/>
  <c r="A209" i="30"/>
  <c r="A208" i="30"/>
  <c r="A207" i="30"/>
  <c r="A206" i="30"/>
  <c r="A205" i="30"/>
  <c r="A204" i="30"/>
  <c r="A203" i="30"/>
  <c r="A202" i="30"/>
  <c r="A201" i="30"/>
  <c r="A200" i="30"/>
  <c r="A199" i="30"/>
  <c r="A198" i="30"/>
  <c r="A197" i="30"/>
  <c r="A196" i="30"/>
  <c r="A195" i="30"/>
  <c r="A194" i="30"/>
  <c r="A193" i="30"/>
  <c r="A192" i="30"/>
  <c r="A191" i="30"/>
  <c r="A190" i="30"/>
  <c r="A189" i="30"/>
  <c r="A188" i="30"/>
  <c r="A187" i="30"/>
  <c r="A186" i="30"/>
  <c r="A185" i="30"/>
  <c r="A184" i="30"/>
  <c r="A183" i="30"/>
  <c r="A182" i="30"/>
  <c r="A181" i="30"/>
  <c r="A180" i="30"/>
  <c r="A179" i="30"/>
  <c r="A178" i="30"/>
  <c r="A177" i="30"/>
  <c r="A176" i="30"/>
  <c r="A175" i="30"/>
  <c r="A174" i="30"/>
  <c r="A173" i="30"/>
  <c r="A172" i="30"/>
  <c r="A171" i="30"/>
  <c r="A170" i="30"/>
  <c r="A169" i="30"/>
  <c r="A168" i="30"/>
  <c r="A167" i="30"/>
  <c r="A166" i="30"/>
  <c r="A165" i="30"/>
  <c r="A164" i="30"/>
  <c r="A163" i="30"/>
  <c r="A162" i="30"/>
  <c r="A161" i="30"/>
  <c r="A160" i="30"/>
  <c r="A159" i="30"/>
  <c r="A158" i="30"/>
  <c r="A157" i="30"/>
  <c r="A156" i="30"/>
  <c r="A155" i="30"/>
  <c r="A154" i="30"/>
  <c r="A153" i="30"/>
  <c r="A152" i="30"/>
  <c r="A151" i="30"/>
  <c r="A150" i="30"/>
  <c r="A149" i="30"/>
  <c r="A148" i="30"/>
  <c r="A147" i="30"/>
  <c r="A146" i="30"/>
  <c r="A145" i="30"/>
  <c r="A144" i="30"/>
  <c r="A143" i="30"/>
  <c r="A142" i="30"/>
  <c r="A141" i="30"/>
  <c r="A140" i="30"/>
  <c r="A139" i="30"/>
  <c r="A138" i="30"/>
  <c r="A137" i="30"/>
  <c r="A136" i="30"/>
  <c r="A135" i="30"/>
  <c r="A134" i="30"/>
  <c r="A133" i="30"/>
  <c r="A132" i="30"/>
  <c r="A131" i="30"/>
  <c r="A130" i="30"/>
  <c r="A129" i="30"/>
  <c r="A128" i="30"/>
  <c r="A127" i="30"/>
  <c r="A125" i="30"/>
  <c r="A124" i="30"/>
  <c r="A123" i="30"/>
  <c r="A122" i="30"/>
  <c r="A121" i="30"/>
  <c r="A120" i="30"/>
  <c r="A119" i="30"/>
  <c r="A118" i="30"/>
  <c r="A117" i="30"/>
  <c r="A116" i="30"/>
  <c r="A115" i="30"/>
  <c r="A114" i="30"/>
  <c r="A113" i="30"/>
  <c r="A112" i="30"/>
  <c r="A111" i="30"/>
  <c r="A110" i="30"/>
  <c r="A109" i="30"/>
  <c r="A108" i="30"/>
  <c r="A107" i="30"/>
  <c r="A106" i="30"/>
  <c r="A105" i="30"/>
  <c r="A104" i="30"/>
  <c r="A103" i="30"/>
  <c r="A102" i="30"/>
  <c r="A101" i="30"/>
  <c r="A100" i="30"/>
  <c r="A99" i="30"/>
  <c r="A98" i="30"/>
  <c r="A97" i="30"/>
  <c r="A96" i="30"/>
  <c r="A95" i="30"/>
  <c r="A94" i="30"/>
  <c r="A93" i="30"/>
  <c r="A92" i="30"/>
  <c r="A91" i="30"/>
  <c r="A90" i="30"/>
  <c r="A89" i="30"/>
  <c r="A88" i="30"/>
  <c r="A87" i="30"/>
  <c r="A86" i="30"/>
  <c r="A85" i="30"/>
  <c r="A84" i="30"/>
  <c r="A83" i="30"/>
  <c r="A82" i="30"/>
  <c r="A81" i="30"/>
  <c r="A80" i="30"/>
  <c r="A79" i="30"/>
  <c r="A78" i="30"/>
  <c r="A77" i="30"/>
  <c r="A76" i="30"/>
  <c r="A75" i="30"/>
  <c r="A74" i="30"/>
  <c r="A73" i="30"/>
  <c r="A72" i="30"/>
  <c r="A71" i="30"/>
  <c r="A70" i="30"/>
  <c r="A69" i="30"/>
  <c r="A68" i="30"/>
  <c r="A67" i="30"/>
  <c r="A66" i="30"/>
  <c r="A65" i="30"/>
  <c r="A64" i="30"/>
  <c r="A63" i="30"/>
  <c r="A62" i="30"/>
  <c r="A61" i="30"/>
  <c r="A60" i="30"/>
  <c r="A59" i="30"/>
  <c r="A58" i="30"/>
  <c r="A57" i="30"/>
  <c r="A56" i="30"/>
  <c r="A55" i="30"/>
  <c r="A54" i="30"/>
  <c r="A53" i="30"/>
  <c r="A52" i="30"/>
  <c r="A51" i="30"/>
  <c r="A50" i="30"/>
  <c r="A49" i="30"/>
  <c r="A48" i="30"/>
  <c r="A47" i="30"/>
  <c r="A46" i="30"/>
  <c r="A45" i="30"/>
  <c r="A44" i="30"/>
  <c r="A43" i="30"/>
  <c r="A42" i="30"/>
  <c r="A41" i="30"/>
  <c r="A40" i="30"/>
  <c r="A39" i="30"/>
  <c r="A38" i="30"/>
  <c r="A37" i="30"/>
  <c r="A36" i="30"/>
  <c r="A35" i="30"/>
  <c r="A34" i="30"/>
  <c r="A33" i="30"/>
  <c r="A32" i="30"/>
  <c r="A30" i="30"/>
  <c r="A29" i="30"/>
  <c r="A28" i="30"/>
  <c r="A27" i="30"/>
  <c r="A26" i="30"/>
  <c r="A25" i="30"/>
  <c r="A24" i="30"/>
  <c r="A23" i="30"/>
  <c r="A22" i="30"/>
  <c r="A21" i="30"/>
  <c r="A20" i="30"/>
  <c r="A19" i="30"/>
  <c r="A18" i="30"/>
  <c r="A17" i="30"/>
  <c r="A16" i="30"/>
  <c r="A15" i="30"/>
  <c r="A14" i="30"/>
  <c r="A13" i="30"/>
  <c r="A12" i="30"/>
  <c r="A11" i="30"/>
  <c r="A10" i="30"/>
  <c r="A9" i="30"/>
  <c r="A8" i="30"/>
  <c r="A7" i="30"/>
  <c r="A6" i="30"/>
  <c r="A5" i="30"/>
  <c r="A4" i="30"/>
  <c r="A3" i="30"/>
  <c r="E573" i="30"/>
  <c r="E571" i="30"/>
  <c r="E570" i="30"/>
  <c r="E569" i="30"/>
  <c r="E568" i="30"/>
  <c r="E567" i="30"/>
  <c r="E566" i="30"/>
  <c r="E565" i="30"/>
  <c r="E564" i="30"/>
  <c r="E563" i="30"/>
  <c r="E562" i="30"/>
  <c r="E561" i="30"/>
  <c r="E560" i="30"/>
  <c r="E559" i="30"/>
  <c r="E558" i="30"/>
  <c r="E557" i="30"/>
  <c r="E556" i="30"/>
  <c r="E555" i="30"/>
  <c r="E554" i="30"/>
  <c r="E553" i="30"/>
  <c r="E552" i="30"/>
  <c r="E551" i="30"/>
  <c r="E550" i="30"/>
  <c r="E549" i="30"/>
  <c r="E548" i="30"/>
  <c r="E547" i="30"/>
  <c r="E546" i="30"/>
  <c r="E545" i="30"/>
  <c r="E544" i="30"/>
  <c r="E543" i="30"/>
  <c r="E542" i="30"/>
  <c r="E541" i="30"/>
  <c r="E540" i="30"/>
  <c r="E539" i="30"/>
  <c r="E538" i="30"/>
  <c r="E537" i="30"/>
  <c r="E536" i="30"/>
  <c r="E535" i="30"/>
  <c r="E534" i="30"/>
  <c r="E533" i="30"/>
  <c r="E532" i="30"/>
  <c r="E531" i="30"/>
  <c r="E530" i="30"/>
  <c r="E529" i="30"/>
  <c r="E528" i="30"/>
  <c r="E527" i="30"/>
  <c r="E526" i="30"/>
  <c r="E525" i="30"/>
  <c r="E524" i="30"/>
  <c r="E523" i="30"/>
  <c r="E522" i="30"/>
  <c r="E521" i="30"/>
  <c r="E520" i="30"/>
  <c r="E519" i="30"/>
  <c r="E518" i="30"/>
  <c r="E517" i="30"/>
  <c r="E516" i="30"/>
  <c r="E515" i="30"/>
  <c r="E514" i="30"/>
  <c r="E513" i="30"/>
  <c r="E512" i="30"/>
  <c r="E511" i="30"/>
  <c r="E510" i="30"/>
  <c r="E509" i="30"/>
  <c r="E505" i="30"/>
  <c r="E504" i="30"/>
  <c r="E503" i="30"/>
  <c r="E502" i="30"/>
  <c r="E501" i="30"/>
  <c r="E500" i="30"/>
  <c r="E499" i="30"/>
  <c r="E498" i="30"/>
  <c r="E497" i="30"/>
  <c r="E496" i="30"/>
  <c r="E495" i="30"/>
  <c r="E494" i="30"/>
  <c r="E493" i="30"/>
  <c r="E492" i="30"/>
  <c r="E491" i="30"/>
  <c r="E490" i="30"/>
  <c r="E489" i="30"/>
  <c r="E488" i="30"/>
  <c r="E487" i="30"/>
  <c r="E486" i="30"/>
  <c r="E485" i="30"/>
  <c r="E484" i="30"/>
  <c r="E483" i="30"/>
  <c r="E482" i="30"/>
  <c r="E481" i="30"/>
  <c r="E480" i="30"/>
  <c r="E479" i="30"/>
  <c r="E478" i="30"/>
  <c r="E476" i="30"/>
  <c r="E475" i="30"/>
  <c r="E474" i="30"/>
  <c r="E473" i="30"/>
  <c r="E472" i="30"/>
  <c r="E471" i="30"/>
  <c r="E470" i="30"/>
  <c r="E469" i="30"/>
  <c r="E468" i="30"/>
  <c r="E467" i="30"/>
  <c r="E466" i="30"/>
  <c r="E465" i="30"/>
  <c r="E464" i="30"/>
  <c r="E463" i="30"/>
  <c r="E462" i="30"/>
  <c r="E461" i="30"/>
  <c r="E460" i="30"/>
  <c r="E459" i="30"/>
  <c r="E458" i="30"/>
  <c r="E457" i="30"/>
  <c r="E456" i="30"/>
  <c r="E455" i="30"/>
  <c r="E454" i="30"/>
  <c r="E453" i="30"/>
  <c r="E452" i="30"/>
  <c r="E451" i="30"/>
  <c r="E450" i="30"/>
  <c r="E449" i="30"/>
  <c r="E448" i="30"/>
  <c r="E447" i="30"/>
  <c r="E446" i="30"/>
  <c r="E445" i="30"/>
  <c r="E444" i="30"/>
  <c r="E443" i="30"/>
  <c r="E442" i="30"/>
  <c r="E441" i="30"/>
  <c r="E440" i="30"/>
  <c r="E439" i="30"/>
  <c r="E438" i="30"/>
  <c r="E437" i="30"/>
  <c r="E436" i="30"/>
  <c r="E435" i="30"/>
  <c r="E434" i="30"/>
  <c r="E433" i="30"/>
  <c r="E432" i="30"/>
  <c r="E431" i="30"/>
  <c r="E430" i="30"/>
  <c r="E429" i="30"/>
  <c r="E428" i="30"/>
  <c r="E427" i="30"/>
  <c r="E426" i="30"/>
  <c r="E425" i="30"/>
  <c r="E424" i="30"/>
  <c r="E423" i="30"/>
  <c r="E422" i="30"/>
  <c r="E421" i="30"/>
  <c r="E420" i="30"/>
  <c r="E419" i="30"/>
  <c r="E418" i="30"/>
  <c r="E417" i="30"/>
  <c r="E416" i="30"/>
  <c r="E415" i="30"/>
  <c r="E414" i="30"/>
  <c r="E410" i="30"/>
  <c r="E409" i="30"/>
  <c r="E408" i="30"/>
  <c r="E407" i="30"/>
  <c r="E406" i="30"/>
  <c r="E405" i="30"/>
  <c r="E404" i="30"/>
  <c r="E403" i="30"/>
  <c r="E402" i="30"/>
  <c r="E401" i="30"/>
  <c r="E400" i="30"/>
  <c r="E399" i="30"/>
  <c r="E398" i="30"/>
  <c r="E397" i="30"/>
  <c r="E396" i="30"/>
  <c r="E395" i="30"/>
  <c r="E394" i="30"/>
  <c r="E393" i="30"/>
  <c r="E392" i="30"/>
  <c r="E391" i="30"/>
  <c r="E390" i="30"/>
  <c r="E389" i="30"/>
  <c r="E388" i="30"/>
  <c r="E387" i="30"/>
  <c r="E386" i="30"/>
  <c r="E385" i="30"/>
  <c r="E384" i="30"/>
  <c r="E383" i="30"/>
  <c r="E381" i="30"/>
  <c r="E380" i="30"/>
  <c r="E379" i="30"/>
  <c r="E378" i="30"/>
  <c r="E377" i="30"/>
  <c r="E376" i="30"/>
  <c r="E375" i="30"/>
  <c r="E374" i="30"/>
  <c r="E373" i="30"/>
  <c r="E372" i="30"/>
  <c r="E371" i="30"/>
  <c r="E370" i="30"/>
  <c r="E369" i="30"/>
  <c r="E368" i="30"/>
  <c r="E367" i="30"/>
  <c r="E366" i="30"/>
  <c r="E365" i="30"/>
  <c r="E364" i="30"/>
  <c r="E363" i="30"/>
  <c r="E362" i="30"/>
  <c r="E361" i="30"/>
  <c r="E360" i="30"/>
  <c r="E359" i="30"/>
  <c r="E358" i="30"/>
  <c r="E357" i="30"/>
  <c r="E356" i="30"/>
  <c r="E355" i="30"/>
  <c r="E354" i="30"/>
  <c r="E353" i="30"/>
  <c r="E352" i="30"/>
  <c r="E351" i="30"/>
  <c r="E350" i="30"/>
  <c r="E349" i="30"/>
  <c r="E348" i="30"/>
  <c r="E347" i="30"/>
  <c r="E346" i="30"/>
  <c r="E345" i="30"/>
  <c r="E344" i="30"/>
  <c r="E343" i="30"/>
  <c r="E342" i="30"/>
  <c r="E341" i="30"/>
  <c r="E340" i="30"/>
  <c r="E339" i="30"/>
  <c r="E338" i="30"/>
  <c r="E337" i="30"/>
  <c r="E336" i="30"/>
  <c r="E335" i="30"/>
  <c r="E334" i="30"/>
  <c r="E333" i="30"/>
  <c r="E332" i="30"/>
  <c r="E331" i="30"/>
  <c r="E330" i="30"/>
  <c r="E329" i="30"/>
  <c r="E328" i="30"/>
  <c r="E327" i="30"/>
  <c r="E326" i="30"/>
  <c r="E325" i="30"/>
  <c r="E324" i="30"/>
  <c r="E323" i="30"/>
  <c r="E322" i="30"/>
  <c r="E321" i="30"/>
  <c r="E320" i="30"/>
  <c r="E319" i="30"/>
  <c r="E315" i="30"/>
  <c r="E314" i="30"/>
  <c r="E313" i="30"/>
  <c r="E312" i="30"/>
  <c r="E311" i="30"/>
  <c r="E310" i="30"/>
  <c r="E309" i="30"/>
  <c r="E308" i="30"/>
  <c r="E307" i="30"/>
  <c r="E306" i="30"/>
  <c r="E305" i="30"/>
  <c r="E304" i="30"/>
  <c r="E303" i="30"/>
  <c r="E302" i="30"/>
  <c r="E301" i="30"/>
  <c r="E300" i="30"/>
  <c r="E299" i="30"/>
  <c r="E298" i="30"/>
  <c r="E297" i="30"/>
  <c r="E296" i="30"/>
  <c r="E295" i="30"/>
  <c r="E294" i="30"/>
  <c r="E293" i="30"/>
  <c r="E292" i="30"/>
  <c r="E291" i="30"/>
  <c r="E290" i="30"/>
  <c r="E289" i="30"/>
  <c r="E288" i="30"/>
  <c r="E286" i="30"/>
  <c r="E285" i="30"/>
  <c r="E284" i="30"/>
  <c r="E283" i="30"/>
  <c r="E282" i="30"/>
  <c r="E281" i="30"/>
  <c r="E280" i="30"/>
  <c r="E279" i="30"/>
  <c r="E278" i="30"/>
  <c r="E277" i="30"/>
  <c r="E276" i="30"/>
  <c r="E275" i="30"/>
  <c r="E274" i="30"/>
  <c r="E273" i="30"/>
  <c r="E272" i="30"/>
  <c r="E271" i="30"/>
  <c r="E270" i="30"/>
  <c r="E269" i="30"/>
  <c r="E268" i="30"/>
  <c r="E267" i="30"/>
  <c r="E266" i="30"/>
  <c r="E265" i="30"/>
  <c r="E264" i="30"/>
  <c r="E263" i="30"/>
  <c r="E262" i="30"/>
  <c r="E261" i="30"/>
  <c r="E260" i="30"/>
  <c r="E259" i="30"/>
  <c r="E258" i="30"/>
  <c r="E257" i="30"/>
  <c r="E256" i="30"/>
  <c r="E255" i="30"/>
  <c r="E254" i="30"/>
  <c r="E253" i="30"/>
  <c r="E252" i="30"/>
  <c r="E251" i="30"/>
  <c r="E250" i="30"/>
  <c r="E249" i="30"/>
  <c r="E248" i="30"/>
  <c r="E247" i="30"/>
  <c r="E246" i="30"/>
  <c r="E245" i="30"/>
  <c r="E244" i="30"/>
  <c r="E243" i="30"/>
  <c r="E242" i="30"/>
  <c r="E241" i="30"/>
  <c r="E240" i="30"/>
  <c r="E239" i="30"/>
  <c r="E238" i="30"/>
  <c r="E237" i="30"/>
  <c r="E236" i="30"/>
  <c r="E235" i="30"/>
  <c r="E234" i="30"/>
  <c r="E233" i="30"/>
  <c r="E232" i="30"/>
  <c r="E231" i="30"/>
  <c r="E230" i="30"/>
  <c r="E229" i="30"/>
  <c r="E228" i="30"/>
  <c r="E227" i="30"/>
  <c r="E226" i="30"/>
  <c r="E225" i="30"/>
  <c r="E224" i="30"/>
  <c r="E220" i="30"/>
  <c r="E219" i="30"/>
  <c r="E218" i="30"/>
  <c r="E217" i="30"/>
  <c r="E216" i="30"/>
  <c r="E215" i="30"/>
  <c r="E214" i="30"/>
  <c r="E213" i="30"/>
  <c r="E212" i="30"/>
  <c r="E211" i="30"/>
  <c r="E210" i="30"/>
  <c r="E209" i="30"/>
  <c r="E208" i="30"/>
  <c r="E207" i="30"/>
  <c r="E206" i="30"/>
  <c r="E205" i="30"/>
  <c r="E204" i="30"/>
  <c r="E203" i="30"/>
  <c r="E202" i="30"/>
  <c r="E201" i="30"/>
  <c r="E200" i="30"/>
  <c r="E199" i="30"/>
  <c r="E198" i="30"/>
  <c r="E197" i="30"/>
  <c r="E196" i="30"/>
  <c r="E195" i="30"/>
  <c r="E194" i="30"/>
  <c r="E193" i="30"/>
  <c r="E191" i="30"/>
  <c r="E190" i="30"/>
  <c r="E189" i="30"/>
  <c r="E188" i="30"/>
  <c r="E187" i="30"/>
  <c r="E186" i="30"/>
  <c r="E185" i="30"/>
  <c r="E184" i="30"/>
  <c r="E183" i="30"/>
  <c r="E182" i="30"/>
  <c r="E181" i="30"/>
  <c r="E180" i="30"/>
  <c r="E179" i="30"/>
  <c r="E178" i="30"/>
  <c r="E177" i="30"/>
  <c r="E176" i="30"/>
  <c r="E175" i="30"/>
  <c r="E174" i="30"/>
  <c r="E173" i="30"/>
  <c r="E172" i="30"/>
  <c r="E171" i="30"/>
  <c r="E170" i="30"/>
  <c r="E169" i="30"/>
  <c r="E168" i="30"/>
  <c r="E167" i="30"/>
  <c r="E166" i="30"/>
  <c r="E165" i="30"/>
  <c r="E164" i="30"/>
  <c r="E163" i="30"/>
  <c r="E162" i="30"/>
  <c r="E161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5" i="30"/>
  <c r="E124" i="30"/>
  <c r="E123" i="30"/>
  <c r="E122" i="30"/>
  <c r="E121" i="30"/>
  <c r="E120" i="30"/>
  <c r="E119" i="30"/>
  <c r="E118" i="30"/>
  <c r="E117" i="30"/>
  <c r="E116" i="30"/>
  <c r="E115" i="30"/>
  <c r="E114" i="30"/>
  <c r="E113" i="30"/>
  <c r="E112" i="30"/>
  <c r="E111" i="30"/>
  <c r="E110" i="30"/>
  <c r="E109" i="30"/>
  <c r="E108" i="30"/>
  <c r="E107" i="30"/>
  <c r="E106" i="30"/>
  <c r="E105" i="30"/>
  <c r="E104" i="30"/>
  <c r="E103" i="30"/>
  <c r="E102" i="30"/>
  <c r="E101" i="30"/>
  <c r="E100" i="30"/>
  <c r="E99" i="30"/>
  <c r="E98" i="30"/>
  <c r="E96" i="30"/>
  <c r="E95" i="30"/>
  <c r="E94" i="30"/>
  <c r="E93" i="30"/>
  <c r="E92" i="30"/>
  <c r="E91" i="30"/>
  <c r="E90" i="30"/>
  <c r="E89" i="30"/>
  <c r="E88" i="30"/>
  <c r="E87" i="30"/>
  <c r="E86" i="30"/>
  <c r="E85" i="30"/>
  <c r="E84" i="30"/>
  <c r="E83" i="30"/>
  <c r="E82" i="30"/>
  <c r="E81" i="30"/>
  <c r="E80" i="30"/>
  <c r="E79" i="30"/>
  <c r="E78" i="30"/>
  <c r="E77" i="30"/>
  <c r="E76" i="30"/>
  <c r="E75" i="30"/>
  <c r="E74" i="30"/>
  <c r="E73" i="30"/>
  <c r="E72" i="30"/>
  <c r="E71" i="30"/>
  <c r="E70" i="30"/>
  <c r="E69" i="30"/>
  <c r="E68" i="30"/>
  <c r="E67" i="30"/>
  <c r="E66" i="30"/>
  <c r="E65" i="30"/>
  <c r="E64" i="30"/>
  <c r="E63" i="30"/>
  <c r="E62" i="30"/>
  <c r="E61" i="30"/>
  <c r="E60" i="30"/>
  <c r="E59" i="30"/>
  <c r="E58" i="30"/>
  <c r="E57" i="30"/>
  <c r="E56" i="30"/>
  <c r="E55" i="30"/>
  <c r="E54" i="30"/>
  <c r="E53" i="30"/>
  <c r="E52" i="30"/>
  <c r="E51" i="30"/>
  <c r="E50" i="30"/>
  <c r="E49" i="30"/>
  <c r="E48" i="30"/>
  <c r="E47" i="30"/>
  <c r="E46" i="30"/>
  <c r="E45" i="30"/>
  <c r="E44" i="30"/>
  <c r="E43" i="30"/>
  <c r="E42" i="30"/>
  <c r="E41" i="30"/>
  <c r="E40" i="30"/>
  <c r="E39" i="30"/>
  <c r="E38" i="30"/>
  <c r="E37" i="30"/>
  <c r="E36" i="30"/>
  <c r="E35" i="30"/>
  <c r="E34" i="30"/>
  <c r="E30" i="30"/>
  <c r="E29" i="30"/>
  <c r="E28" i="30"/>
  <c r="E27" i="30"/>
  <c r="E26" i="30"/>
  <c r="E25" i="30"/>
  <c r="E24" i="30"/>
  <c r="E23" i="30"/>
  <c r="E22" i="30"/>
  <c r="E21" i="30"/>
  <c r="E20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E7" i="30"/>
  <c r="E6" i="30"/>
  <c r="E5" i="30"/>
  <c r="E4" i="30"/>
  <c r="E3" i="30"/>
  <c r="D2" i="8" l="1"/>
  <c r="D95" i="7"/>
  <c r="D94" i="7"/>
  <c r="D93" i="7"/>
  <c r="D92" i="7"/>
  <c r="D91" i="7"/>
  <c r="D90" i="7"/>
  <c r="D89" i="7"/>
  <c r="D88" i="7"/>
  <c r="D87" i="7"/>
  <c r="D86" i="7"/>
  <c r="D85" i="7"/>
  <c r="D84" i="7"/>
  <c r="D83" i="7"/>
  <c r="D82" i="7"/>
  <c r="D81" i="7"/>
  <c r="D80" i="7"/>
  <c r="D79" i="7"/>
  <c r="D78" i="7"/>
  <c r="D77" i="7"/>
  <c r="D76" i="7"/>
  <c r="D75" i="7"/>
  <c r="D74" i="7"/>
  <c r="D73" i="7"/>
  <c r="D72" i="7"/>
  <c r="D71" i="7"/>
  <c r="D70" i="7"/>
  <c r="D69" i="7"/>
  <c r="D68" i="7"/>
  <c r="D67" i="7"/>
  <c r="D66" i="7"/>
  <c r="D65" i="7"/>
  <c r="D64" i="7"/>
  <c r="D63" i="7"/>
  <c r="D62" i="7"/>
  <c r="D61" i="7"/>
  <c r="D60" i="7"/>
  <c r="D59" i="7"/>
  <c r="D58" i="7"/>
  <c r="D57" i="7"/>
  <c r="D56" i="7"/>
  <c r="D55" i="7"/>
  <c r="D54" i="7"/>
  <c r="D53" i="7"/>
  <c r="D52" i="7"/>
  <c r="D51" i="7"/>
  <c r="D50" i="7"/>
  <c r="D49" i="7"/>
  <c r="D48" i="7"/>
  <c r="D47" i="7"/>
  <c r="D46" i="7"/>
  <c r="D45" i="7"/>
  <c r="D44" i="7"/>
  <c r="D43" i="7"/>
  <c r="D42" i="7"/>
  <c r="D41" i="7"/>
  <c r="D40" i="7"/>
  <c r="D39" i="7"/>
  <c r="D38" i="7"/>
  <c r="D37" i="7"/>
  <c r="D36" i="7"/>
  <c r="D35" i="7"/>
  <c r="D34" i="7"/>
  <c r="D33" i="7"/>
  <c r="D29" i="7"/>
  <c r="D28" i="7"/>
  <c r="D27" i="7"/>
  <c r="D26" i="7"/>
  <c r="D25" i="7"/>
  <c r="D24" i="7"/>
  <c r="D23" i="7"/>
  <c r="D22" i="7"/>
  <c r="D21" i="7"/>
  <c r="D20" i="7"/>
  <c r="D19" i="7"/>
  <c r="D18" i="7"/>
  <c r="D17" i="7"/>
  <c r="D16" i="7"/>
  <c r="D15" i="7"/>
  <c r="D14" i="7"/>
  <c r="D13" i="7"/>
  <c r="D12" i="7"/>
  <c r="D11" i="7"/>
  <c r="D10" i="7"/>
  <c r="D9" i="7"/>
  <c r="D8" i="7"/>
  <c r="D7" i="7"/>
  <c r="D6" i="7"/>
  <c r="D5" i="7"/>
  <c r="D4" i="7"/>
  <c r="D3" i="7"/>
  <c r="D2" i="7"/>
  <c r="D95" i="6"/>
  <c r="D94" i="6"/>
  <c r="D93" i="6"/>
  <c r="D92" i="6"/>
  <c r="D91" i="6"/>
  <c r="D90" i="6"/>
  <c r="D89" i="6"/>
  <c r="D88" i="6"/>
  <c r="D87" i="6"/>
  <c r="D86" i="6"/>
  <c r="D85" i="6"/>
  <c r="D84" i="6"/>
  <c r="D83" i="6"/>
  <c r="D82" i="6"/>
  <c r="D81" i="6"/>
  <c r="D80" i="6"/>
  <c r="D79" i="6"/>
  <c r="D78" i="6"/>
  <c r="D77" i="6"/>
  <c r="D76" i="6"/>
  <c r="D75" i="6"/>
  <c r="D74" i="6"/>
  <c r="D73" i="6"/>
  <c r="D72" i="6"/>
  <c r="D71" i="6"/>
  <c r="D70" i="6"/>
  <c r="D69" i="6"/>
  <c r="D68" i="6"/>
  <c r="D67" i="6"/>
  <c r="D66" i="6"/>
  <c r="D65" i="6"/>
  <c r="D64" i="6"/>
  <c r="D63" i="6"/>
  <c r="D62" i="6"/>
  <c r="D61" i="6"/>
  <c r="D60" i="6"/>
  <c r="D59" i="6"/>
  <c r="D58" i="6"/>
  <c r="D57" i="6"/>
  <c r="D56" i="6"/>
  <c r="D55" i="6"/>
  <c r="D54" i="6"/>
  <c r="D53" i="6"/>
  <c r="D52" i="6"/>
  <c r="D51" i="6"/>
  <c r="D50" i="6"/>
  <c r="D49" i="6"/>
  <c r="D48" i="6"/>
  <c r="D47" i="6"/>
  <c r="D46" i="6"/>
  <c r="D45" i="6"/>
  <c r="D44" i="6"/>
  <c r="D43" i="6"/>
  <c r="D42" i="6"/>
  <c r="D41" i="6"/>
  <c r="D40" i="6"/>
  <c r="D39" i="6"/>
  <c r="D38" i="6"/>
  <c r="D37" i="6"/>
  <c r="D36" i="6"/>
  <c r="D35" i="6"/>
  <c r="D34" i="6"/>
  <c r="D33" i="6"/>
  <c r="D29" i="6"/>
  <c r="D28" i="6"/>
  <c r="D27" i="6"/>
  <c r="D26" i="6"/>
  <c r="D25" i="6"/>
  <c r="D24" i="6"/>
  <c r="D23" i="6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4" i="6"/>
  <c r="D3" i="6"/>
  <c r="D2" i="6"/>
  <c r="D95" i="5"/>
  <c r="D94" i="5"/>
  <c r="D93" i="5"/>
  <c r="D92" i="5"/>
  <c r="D91" i="5"/>
  <c r="D90" i="5"/>
  <c r="D89" i="5"/>
  <c r="D88" i="5"/>
  <c r="D87" i="5"/>
  <c r="D86" i="5"/>
  <c r="D85" i="5"/>
  <c r="D84" i="5"/>
  <c r="D83" i="5"/>
  <c r="D82" i="5"/>
  <c r="D81" i="5"/>
  <c r="D80" i="5"/>
  <c r="D79" i="5"/>
  <c r="D78" i="5"/>
  <c r="D77" i="5"/>
  <c r="D76" i="5"/>
  <c r="D75" i="5"/>
  <c r="D74" i="5"/>
  <c r="D73" i="5"/>
  <c r="D72" i="5"/>
  <c r="D71" i="5"/>
  <c r="D70" i="5"/>
  <c r="D69" i="5"/>
  <c r="D68" i="5"/>
  <c r="D67" i="5"/>
  <c r="D66" i="5"/>
  <c r="D65" i="5"/>
  <c r="D64" i="5"/>
  <c r="D63" i="5"/>
  <c r="D62" i="5"/>
  <c r="D61" i="5"/>
  <c r="D60" i="5"/>
  <c r="D59" i="5"/>
  <c r="D58" i="5"/>
  <c r="D57" i="5"/>
  <c r="D56" i="5"/>
  <c r="D55" i="5"/>
  <c r="D54" i="5"/>
  <c r="D53" i="5"/>
  <c r="D52" i="5"/>
  <c r="D51" i="5"/>
  <c r="D50" i="5"/>
  <c r="D49" i="5"/>
  <c r="D48" i="5"/>
  <c r="D47" i="5"/>
  <c r="D46" i="5"/>
  <c r="D45" i="5"/>
  <c r="D44" i="5"/>
  <c r="D43" i="5"/>
  <c r="D42" i="5"/>
  <c r="D41" i="5"/>
  <c r="D40" i="5"/>
  <c r="D39" i="5"/>
  <c r="D38" i="5"/>
  <c r="D37" i="5"/>
  <c r="D36" i="5"/>
  <c r="D35" i="5"/>
  <c r="D34" i="5"/>
  <c r="D33" i="5"/>
  <c r="D29" i="5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D5" i="4"/>
  <c r="D4" i="4"/>
  <c r="D3" i="4"/>
  <c r="D2" i="4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60" i="15"/>
  <c r="D59" i="15"/>
  <c r="D58" i="15"/>
  <c r="D57" i="15"/>
  <c r="D56" i="15"/>
  <c r="D55" i="15"/>
  <c r="D54" i="15"/>
  <c r="D53" i="15"/>
  <c r="D52" i="15"/>
  <c r="D51" i="15"/>
  <c r="D50" i="15"/>
  <c r="D49" i="15"/>
  <c r="D48" i="15"/>
  <c r="D47" i="15"/>
  <c r="D46" i="15"/>
  <c r="D45" i="15"/>
  <c r="D44" i="15"/>
  <c r="D43" i="15"/>
  <c r="D42" i="15"/>
  <c r="D41" i="15"/>
  <c r="D40" i="15"/>
  <c r="D39" i="15"/>
  <c r="D38" i="15"/>
  <c r="D37" i="15"/>
  <c r="D36" i="15"/>
  <c r="D35" i="15"/>
  <c r="D34" i="15"/>
  <c r="D33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4" i="15"/>
  <c r="D5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3" i="15"/>
  <c r="D2" i="15"/>
</calcChain>
</file>

<file path=xl/sharedStrings.xml><?xml version="1.0" encoding="utf-8"?>
<sst xmlns="http://schemas.openxmlformats.org/spreadsheetml/2006/main" count="1749" uniqueCount="130">
  <si>
    <t>AGS100010 ARTURO MARTIN DEL CAMPO DE ANDA</t>
  </si>
  <si>
    <t>AGS100002 ALAN SAUCEDO DIR 13</t>
  </si>
  <si>
    <t>AGS100004 ALMA LOPEZ FUENTES DIR 13.</t>
  </si>
  <si>
    <t>AGS100015 CESAR ALBERTO ORTIZ ALVAREZ</t>
  </si>
  <si>
    <t>AGS100017 DANIEL ARMANDO VELOZ AGUIRRE</t>
  </si>
  <si>
    <t>AGS100020 EDGAR SOTO SANDIN</t>
  </si>
  <si>
    <t>AGS100005 ANA MARIA ZAVALA DIR 13</t>
  </si>
  <si>
    <t>AGS100031 HECTOR DAVID BRIONES LARA</t>
  </si>
  <si>
    <t>AGS100033 HECTOR RICARDO ESPARZA ALVAREZ</t>
  </si>
  <si>
    <t>AGS100013 BLANCA ESTELA CARRANCO ARELLANO DIR 13</t>
  </si>
  <si>
    <t>AGS100037 J. CRUZ ESPARZA GUTIERREZ</t>
  </si>
  <si>
    <t>AGS100041 JESUS AARON ACOSTA OCHOA</t>
  </si>
  <si>
    <t>AGS100042 JESUS ALFREDO VALENZUELA DELFIN 0</t>
  </si>
  <si>
    <t>AGS100015 CESAR LUIS BALDERAS E. DIR 13</t>
  </si>
  <si>
    <t>AGS100044 JORGE ALBERTO FLORES VELAZCO</t>
  </si>
  <si>
    <t>AGS100045 JORGE ARMANDO HERNANDEZ PEÑA</t>
  </si>
  <si>
    <t>AGS100021 EDITH LOPEZ DIR 13</t>
  </si>
  <si>
    <t>AGS100047 JORGE DANIEL RUBALCAVA ROCHA</t>
  </si>
  <si>
    <t>AGS100021 EDITH LOPEZ DIR14</t>
  </si>
  <si>
    <t>AGS100049 JOSE LUIS AVILA SALAS</t>
  </si>
  <si>
    <t>AGS100051 JOSE RAMON ZUÑIGA LUEVANO</t>
  </si>
  <si>
    <t>AGS100055 LUIS ADOLFO TRANCOSO SOTO</t>
  </si>
  <si>
    <t>AGS100056 LUIS DANIEL SANCHEZ REYES</t>
  </si>
  <si>
    <t>AGS100067 MIGUEL CASTAÑEDA REYES</t>
  </si>
  <si>
    <t>AGS100075 RAMON VELOZ GUERRERO</t>
  </si>
  <si>
    <t>AGS100029 GERARDO NIETO NEGRETE DIR 13</t>
  </si>
  <si>
    <t>AGS100073 RODOLFO JUAREZ NERI</t>
  </si>
  <si>
    <t>AGS100030 GILBERTO MORA REYES DIR 13</t>
  </si>
  <si>
    <t>AGS100077 SERGIO RIGOBERTO CASILLAS GALLARDO</t>
  </si>
  <si>
    <t>AGS100080 VICTOR HUGO GONZALEZ CARDONA</t>
  </si>
  <si>
    <t>AGS100032 HECTOR MANUEL ESPINOLA DIR 13</t>
  </si>
  <si>
    <t>AGS100046 JORGE HUMBERTO HERNANDEZ DIR 13</t>
  </si>
  <si>
    <t>AGS1000JUAN MANUEL MENDEZ DIR 13</t>
  </si>
  <si>
    <t>AGS100053 LETICIA ROJAS MENDEZ DIR 13</t>
  </si>
  <si>
    <t>AGS100053 LETICIA ROJAS MENDEZ DIR 14</t>
  </si>
  <si>
    <t>AGS100057 LUIS EDUARDO CAMACHO DIR 13</t>
  </si>
  <si>
    <t>AGS100059 MA DE JESUS GALLEGOS DIR 13</t>
  </si>
  <si>
    <t>AGS100060 MA. GUADALUPE PEREZ RUIZ DIR 13</t>
  </si>
  <si>
    <t>AGS100071 PABLO CESAR DIAZ VEGA DIR 13</t>
  </si>
  <si>
    <t>AGS100074 RAFAEL SANCHEZ RIVAS DIR 13</t>
  </si>
  <si>
    <t>AGS100028 GERARDO ANTONIO NIETO TERRONES DIR 13.</t>
  </si>
  <si>
    <t>INGRESOS</t>
  </si>
  <si>
    <t>EGRESOS</t>
  </si>
  <si>
    <t>AGS100090 ANA MARIA VENEGAS DIR 13</t>
  </si>
  <si>
    <t>AGS100091 BRYAN CHAVEZ ALMOGABAR</t>
  </si>
  <si>
    <t xml:space="preserve">AGS100025 FERNANDO MARQUEZ </t>
  </si>
  <si>
    <t xml:space="preserve">AGS100027 FRANCISCO JAVIER JUAREZ </t>
  </si>
  <si>
    <t xml:space="preserve">AGS100043 JESUS OCTAVIO MARQUEZ </t>
  </si>
  <si>
    <t xml:space="preserve">AGS100092 OFICINA </t>
  </si>
  <si>
    <t>AGS100093 VICTOR ALFONSO VASQUEZ RAMOS</t>
  </si>
  <si>
    <t>AGS100090 ANA MARIA VENEGAS DIR 14</t>
  </si>
  <si>
    <t>AGS100094 ARNULFO DAVILA AVILA DIR 13..</t>
  </si>
  <si>
    <t>AGS100094 ARNULFO DAVILA AVILA DIR 14</t>
  </si>
  <si>
    <t>AGS100095 EFRAIN RODRIGUEZ CASILLAS DIR 13</t>
  </si>
  <si>
    <t>AGS100095 EJEC. EFRAIN RODRIGUEZ CASILLAS</t>
  </si>
  <si>
    <t>AGS100096 FERNANDO PEREZ CHAVEZ DIR 13</t>
  </si>
  <si>
    <t>AGS100097 Fideicomiso</t>
  </si>
  <si>
    <t>AGS100098 GRACIELA GARCIA LOPEZ DIR 13</t>
  </si>
  <si>
    <t xml:space="preserve">AGS100036 IRENE GAYTAN R. DIR 13 </t>
  </si>
  <si>
    <t xml:space="preserve">AGS100036 IRENE GAYTAN R. DIR 13. </t>
  </si>
  <si>
    <t xml:space="preserve">AGS100034 JESUS OCTAVIO MARQUEZ </t>
  </si>
  <si>
    <t>AGS100099 JOSE LUIS HERNANDEZ ISLAS DIR 13</t>
  </si>
  <si>
    <t>AGS100100 LUCIA REBULLO DIR 14</t>
  </si>
  <si>
    <t xml:space="preserve">AGS100068 NAYELI AVALOS DIR 13 </t>
  </si>
  <si>
    <t>AGS100101 RAMIRO BALDERAS DIR 13</t>
  </si>
  <si>
    <t>AGS100102 ROSA ISELA HERRERA DIR 13</t>
  </si>
  <si>
    <t xml:space="preserve">AGS100103 YOLANDA JIMENEZ DIR 13 </t>
  </si>
  <si>
    <t>Ingresos</t>
  </si>
  <si>
    <t>JULIETA PARRA</t>
  </si>
  <si>
    <t>Porcentaje</t>
  </si>
  <si>
    <t>Total pagado</t>
  </si>
  <si>
    <t>AGS100090</t>
  </si>
  <si>
    <t>AGS100010</t>
  </si>
  <si>
    <t>AGS100091</t>
  </si>
  <si>
    <t>AGS100015</t>
  </si>
  <si>
    <t>AGS100017</t>
  </si>
  <si>
    <t>AGS100020</t>
  </si>
  <si>
    <t>AGS100025</t>
  </si>
  <si>
    <t>AGS100027</t>
  </si>
  <si>
    <t>AGS100031</t>
  </si>
  <si>
    <t>AGS100033</t>
  </si>
  <si>
    <t>AGS100037</t>
  </si>
  <si>
    <t>AGS100041</t>
  </si>
  <si>
    <t>AGS100042</t>
  </si>
  <si>
    <t>AGS100043</t>
  </si>
  <si>
    <t>AGS100044</t>
  </si>
  <si>
    <t>AGS100045</t>
  </si>
  <si>
    <t>AGS100047</t>
  </si>
  <si>
    <t>AGS100049</t>
  </si>
  <si>
    <t>AGS100051</t>
  </si>
  <si>
    <t>AGS100055</t>
  </si>
  <si>
    <t>AGS100056</t>
  </si>
  <si>
    <t>AGS100067</t>
  </si>
  <si>
    <t>AGS100092</t>
  </si>
  <si>
    <t>AGS100075</t>
  </si>
  <si>
    <t>AGS100073</t>
  </si>
  <si>
    <t>AGS100077</t>
  </si>
  <si>
    <t>AGS100093</t>
  </si>
  <si>
    <t>AGS100080</t>
  </si>
  <si>
    <t>AGS100002</t>
  </si>
  <si>
    <t>AGS100004</t>
  </si>
  <si>
    <t>AGS100005</t>
  </si>
  <si>
    <t>AGS100094</t>
  </si>
  <si>
    <t>AGS100013</t>
  </si>
  <si>
    <t>AGS100021</t>
  </si>
  <si>
    <t>AGS100095</t>
  </si>
  <si>
    <t>AGS100096</t>
  </si>
  <si>
    <t>AGS100097</t>
  </si>
  <si>
    <t>AGS100028</t>
  </si>
  <si>
    <t>AGS100029</t>
  </si>
  <si>
    <t>AGS100030</t>
  </si>
  <si>
    <t>AGS100098</t>
  </si>
  <si>
    <t>AGS100032</t>
  </si>
  <si>
    <t>AGS100036</t>
  </si>
  <si>
    <t>AGS100034</t>
  </si>
  <si>
    <t>AGS100046</t>
  </si>
  <si>
    <t>AGS100099</t>
  </si>
  <si>
    <t>AGS1000JU</t>
  </si>
  <si>
    <t>AGS100053</t>
  </si>
  <si>
    <t>AGS100100</t>
  </si>
  <si>
    <t>AGS100057</t>
  </si>
  <si>
    <t>AGS100059</t>
  </si>
  <si>
    <t>AGS100060</t>
  </si>
  <si>
    <t>AGS100068</t>
  </si>
  <si>
    <t>AGS100071</t>
  </si>
  <si>
    <t>AGS100074</t>
  </si>
  <si>
    <t>AGS100101</t>
  </si>
  <si>
    <t>AGS100102</t>
  </si>
  <si>
    <t>AGS100103</t>
  </si>
  <si>
    <t>JULIETA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</si>
</sst>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$&quot;#,##0.00;[Red]\-&quot;$&quot;#,##0.00"/>
    <numFmt numFmtId="164" formatCode="&quot;$&quot;#,##0.00&quot; &quot;;&quot;-&quot;&quot;$&quot;#,##0.00"/>
  </numFmts>
  <fonts count="31">
    <font>
      <sz val="11"/>
      <color theme="1"/>
      <name val="Liberation Sans"/>
      <family val="2"/>
    </font>
    <font>
      <sz val="11"/>
      <color theme="1"/>
      <name val="Liberation Sans"/>
      <family val="2"/>
    </font>
    <font>
      <b/>
      <sz val="10"/>
      <color rgb="FF000000"/>
      <name val="Liberation Sans"/>
      <family val="2"/>
    </font>
    <font>
      <sz val="10"/>
      <color rgb="FFFFFFFF"/>
      <name val="Liberation Sans"/>
      <family val="2"/>
    </font>
    <font>
      <sz val="10"/>
      <color rgb="FFCC0000"/>
      <name val="Liberation Sans"/>
      <family val="2"/>
    </font>
    <font>
      <b/>
      <sz val="10"/>
      <color rgb="FFFFFFFF"/>
      <name val="Liberation Sans"/>
      <family val="2"/>
    </font>
    <font>
      <i/>
      <sz val="10"/>
      <color rgb="FF808080"/>
      <name val="Liberation Sans"/>
      <family val="2"/>
    </font>
    <font>
      <sz val="10"/>
      <color rgb="FF006600"/>
      <name val="Liberation Sans"/>
      <family val="2"/>
    </font>
    <font>
      <b/>
      <sz val="24"/>
      <color rgb="FF000000"/>
      <name val="Liberation Sans"/>
      <family val="2"/>
    </font>
    <font>
      <sz val="18"/>
      <color rgb="FF000000"/>
      <name val="Liberation Sans"/>
      <family val="2"/>
    </font>
    <font>
      <sz val="12"/>
      <color rgb="FF000000"/>
      <name val="Liberation Sans"/>
      <family val="2"/>
    </font>
    <font>
      <u/>
      <sz val="10"/>
      <color rgb="FF0000EE"/>
      <name val="Liberation Sans"/>
      <family val="2"/>
    </font>
    <font>
      <sz val="10"/>
      <color rgb="FF996600"/>
      <name val="Liberation Sans"/>
      <family val="2"/>
    </font>
    <font>
      <sz val="10"/>
      <color rgb="FF333333"/>
      <name val="Liberation Sans"/>
      <family val="2"/>
    </font>
    <font>
      <sz val="10"/>
      <color rgb="FF000000"/>
      <name val="Times New Roman"/>
    </font>
    <font>
      <b/>
      <sz val="10"/>
      <color rgb="FF000000"/>
      <name val="Times New Roman"/>
    </font>
    <font>
      <sz val="11"/>
      <color rgb="FF000000"/>
      <name val="MS Sans Serif"/>
    </font>
    <font>
      <b/>
      <sz val="10"/>
      <color rgb="FF000000"/>
      <name val="MS Sans Serif"/>
    </font>
    <font>
      <sz val="10"/>
      <color rgb="FFFFFFFF"/>
      <name val="MS Sans Serif"/>
    </font>
    <font>
      <sz val="10"/>
      <color rgb="FFCC0000"/>
      <name val="MS Sans Serif"/>
    </font>
    <font>
      <b/>
      <sz val="10"/>
      <color rgb="FFFFFFFF"/>
      <name val="MS Sans Serif"/>
    </font>
    <font>
      <i/>
      <sz val="10"/>
      <color rgb="FF808080"/>
      <name val="MS Sans Serif"/>
    </font>
    <font>
      <sz val="10"/>
      <color rgb="FF006600"/>
      <name val="MS Sans Serif"/>
    </font>
    <font>
      <b/>
      <sz val="24"/>
      <color rgb="FF000000"/>
      <name val="MS Sans Serif"/>
    </font>
    <font>
      <sz val="18"/>
      <color rgb="FF000000"/>
      <name val="MS Sans Serif"/>
    </font>
    <font>
      <sz val="12"/>
      <color rgb="FF000000"/>
      <name val="MS Sans Serif"/>
    </font>
    <font>
      <u/>
      <sz val="10"/>
      <color rgb="FF0000EE"/>
      <name val="MS Sans Serif"/>
    </font>
    <font>
      <sz val="10"/>
      <color rgb="FF996600"/>
      <name val="MS Sans Serif"/>
    </font>
    <font>
      <sz val="10"/>
      <color rgb="FF333333"/>
      <name val="MS Sans Serif"/>
    </font>
    <font>
      <sz val="10"/>
      <color rgb="FF000000"/>
      <name val="MS Sans Serif"/>
    </font>
    <font>
      <sz val="11"/>
      <color rgb="FF000000"/>
      <name val="Liberation Sans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double">
        <color auto="1"/>
      </top>
      <bottom/>
      <diagonal/>
    </border>
    <border>
      <left/>
      <right/>
      <top style="double">
        <color rgb="FF000000"/>
      </top>
      <bottom/>
      <diagonal/>
    </border>
  </borders>
  <cellStyleXfs count="37">
    <xf numFmtId="0" fontId="0" fillId="0" borderId="0"/>
    <xf numFmtId="0" fontId="12" fillId="8" borderId="0"/>
    <xf numFmtId="0" fontId="2" fillId="0" borderId="0"/>
    <xf numFmtId="0" fontId="3" fillId="2" borderId="0"/>
    <xf numFmtId="0" fontId="3" fillId="3" borderId="0"/>
    <xf numFmtId="0" fontId="2" fillId="4" borderId="0"/>
    <xf numFmtId="0" fontId="4" fillId="5" borderId="0"/>
    <xf numFmtId="0" fontId="5" fillId="6" borderId="0"/>
    <xf numFmtId="0" fontId="6" fillId="0" borderId="0"/>
    <xf numFmtId="0" fontId="7" fillId="7" borderId="0"/>
    <xf numFmtId="0" fontId="8" fillId="0" borderId="0"/>
    <xf numFmtId="0" fontId="9" fillId="0" borderId="0"/>
    <xf numFmtId="0" fontId="10" fillId="0" borderId="0"/>
    <xf numFmtId="0" fontId="11" fillId="0" borderId="0"/>
    <xf numFmtId="0" fontId="13" fillId="8" borderId="1"/>
    <xf numFmtId="0" fontId="1" fillId="0" borderId="0"/>
    <xf numFmtId="0" fontId="1" fillId="0" borderId="0"/>
    <xf numFmtId="0" fontId="4" fillId="0" borderId="0"/>
    <xf numFmtId="0" fontId="16" fillId="0" borderId="0"/>
    <xf numFmtId="0" fontId="27" fillId="8" borderId="0"/>
    <xf numFmtId="0" fontId="17" fillId="0" borderId="0"/>
    <xf numFmtId="0" fontId="18" fillId="2" borderId="0"/>
    <xf numFmtId="0" fontId="18" fillId="3" borderId="0"/>
    <xf numFmtId="0" fontId="17" fillId="4" borderId="0"/>
    <xf numFmtId="0" fontId="19" fillId="5" borderId="0"/>
    <xf numFmtId="0" fontId="20" fillId="6" borderId="0"/>
    <xf numFmtId="0" fontId="21" fillId="0" borderId="0"/>
    <xf numFmtId="0" fontId="22" fillId="7" borderId="0"/>
    <xf numFmtId="0" fontId="23" fillId="0" borderId="0"/>
    <xf numFmtId="0" fontId="24" fillId="0" borderId="0"/>
    <xf numFmtId="0" fontId="25" fillId="0" borderId="0"/>
    <xf numFmtId="0" fontId="26" fillId="0" borderId="0"/>
    <xf numFmtId="0" fontId="28" fillId="8" borderId="1"/>
    <xf numFmtId="0" fontId="16" fillId="0" borderId="0"/>
    <xf numFmtId="0" fontId="16" fillId="0" borderId="0"/>
    <xf numFmtId="0" fontId="19" fillId="0" borderId="0"/>
    <xf numFmtId="9" fontId="1" fillId="0" borderId="0" applyFont="0" applyFill="0" applyBorder="0" applyAlignment="0" applyProtection="0"/>
  </cellStyleXfs>
  <cellXfs count="17">
    <xf numFmtId="0" fontId="0" fillId="0" borderId="0" xfId="0"/>
    <xf numFmtId="0" fontId="14" fillId="0" borderId="0" xfId="0" applyFont="1" applyFill="1" applyAlignment="1">
      <alignment vertical="center"/>
    </xf>
    <xf numFmtId="164" fontId="14" fillId="0" borderId="0" xfId="0" applyNumberFormat="1" applyFont="1" applyFill="1" applyAlignment="1">
      <alignment horizontal="right" vertical="center"/>
    </xf>
    <xf numFmtId="10" fontId="0" fillId="0" borderId="0" xfId="0" applyNumberFormat="1"/>
    <xf numFmtId="0" fontId="15" fillId="0" borderId="2" xfId="0" applyFont="1" applyFill="1" applyBorder="1" applyAlignment="1">
      <alignment horizontal="right" vertical="center"/>
    </xf>
    <xf numFmtId="0" fontId="16" fillId="0" borderId="0" xfId="18"/>
    <xf numFmtId="0" fontId="14" fillId="0" borderId="0" xfId="18" applyFont="1" applyFill="1" applyAlignment="1">
      <alignment vertical="center"/>
    </xf>
    <xf numFmtId="164" fontId="14" fillId="0" borderId="0" xfId="18" applyNumberFormat="1" applyFont="1" applyFill="1" applyAlignment="1">
      <alignment horizontal="right" vertical="center"/>
    </xf>
    <xf numFmtId="0" fontId="15" fillId="0" borderId="2" xfId="18" applyFont="1" applyFill="1" applyBorder="1" applyAlignment="1">
      <alignment horizontal="right" vertical="center"/>
    </xf>
    <xf numFmtId="0" fontId="15" fillId="0" borderId="0" xfId="0" applyFont="1" applyAlignment="1">
      <alignment horizontal="left" vertical="center" wrapText="1"/>
    </xf>
    <xf numFmtId="0" fontId="29" fillId="0" borderId="0" xfId="0" applyFont="1" applyAlignment="1">
      <alignment horizontal="left" vertical="center" wrapText="1"/>
    </xf>
    <xf numFmtId="0" fontId="14" fillId="9" borderId="0" xfId="0" applyFont="1" applyFill="1" applyAlignment="1">
      <alignment horizontal="left" vertical="center" wrapText="1"/>
    </xf>
    <xf numFmtId="8" fontId="14" fillId="0" borderId="0" xfId="0" applyNumberFormat="1" applyFont="1" applyAlignment="1">
      <alignment horizontal="right" vertical="center" wrapText="1"/>
    </xf>
    <xf numFmtId="0" fontId="14" fillId="0" borderId="0" xfId="0" applyFont="1" applyAlignment="1">
      <alignment horizontal="left" vertical="center" wrapText="1"/>
    </xf>
    <xf numFmtId="0" fontId="15" fillId="0" borderId="3" xfId="0" applyFont="1" applyBorder="1" applyAlignment="1">
      <alignment horizontal="right" vertical="center" wrapText="1"/>
    </xf>
    <xf numFmtId="9" fontId="0" fillId="0" borderId="0" xfId="36" applyFont="1"/>
    <xf numFmtId="8" fontId="0" fillId="0" borderId="0" xfId="0" applyNumberFormat="1"/>
  </cellXfs>
  <cellStyles count="37">
    <cellStyle name="Accent" xfId="2"/>
    <cellStyle name="Accent 1" xfId="3"/>
    <cellStyle name="Accent 1 2" xfId="21"/>
    <cellStyle name="Accent 2" xfId="4"/>
    <cellStyle name="Accent 2 2" xfId="22"/>
    <cellStyle name="Accent 3" xfId="5"/>
    <cellStyle name="Accent 3 2" xfId="23"/>
    <cellStyle name="Accent 4" xfId="20"/>
    <cellStyle name="Bad" xfId="6"/>
    <cellStyle name="Bad 2" xfId="24"/>
    <cellStyle name="Error" xfId="7"/>
    <cellStyle name="Error 2" xfId="25"/>
    <cellStyle name="Footnote" xfId="8"/>
    <cellStyle name="Footnote 2" xfId="26"/>
    <cellStyle name="Good" xfId="9"/>
    <cellStyle name="Good 2" xfId="27"/>
    <cellStyle name="Heading (user)" xfId="10"/>
    <cellStyle name="Heading (user) 2" xfId="28"/>
    <cellStyle name="Heading 1" xfId="11"/>
    <cellStyle name="Heading 1 2" xfId="29"/>
    <cellStyle name="Heading 2" xfId="12"/>
    <cellStyle name="Heading 2 2" xfId="30"/>
    <cellStyle name="Hyperlink" xfId="13"/>
    <cellStyle name="Hyperlink 2" xfId="31"/>
    <cellStyle name="Neutral" xfId="1" builtinId="28" customBuiltin="1"/>
    <cellStyle name="Neutral 2" xfId="19"/>
    <cellStyle name="Normal" xfId="0" builtinId="0" customBuiltin="1"/>
    <cellStyle name="Normal 2" xfId="18"/>
    <cellStyle name="Note" xfId="14"/>
    <cellStyle name="Note 2" xfId="32"/>
    <cellStyle name="Porcentaje" xfId="36" builtinId="5"/>
    <cellStyle name="Status" xfId="15"/>
    <cellStyle name="Status 2" xfId="33"/>
    <cellStyle name="Text" xfId="16"/>
    <cellStyle name="Text 2" xfId="34"/>
    <cellStyle name="Warning" xfId="17"/>
    <cellStyle name="Warning 2" xfId="3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19050</xdr:rowOff>
        </xdr:from>
        <xdr:to>
          <xdr:col>7</xdr:col>
          <xdr:colOff>0</xdr:colOff>
          <xdr:row>3</xdr:row>
          <xdr:rowOff>123825</xdr:rowOff>
        </xdr:to>
        <xdr:sp macro="" textlink="">
          <xdr:nvSpPr>
            <xdr:cNvPr id="12289" name="Button 1" descr="Crear archivo importador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Liberation Sans"/>
                  <a:ea typeface="Liberation Sans"/>
                  <a:cs typeface="Liberation Sans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2:H573"/>
  <sheetViews>
    <sheetView tabSelected="1" topLeftCell="A495" workbookViewId="0">
      <selection activeCell="H501" sqref="H501:H567"/>
    </sheetView>
  </sheetViews>
  <sheetFormatPr baseColWidth="10" defaultRowHeight="14.25"/>
  <cols>
    <col min="3" max="3" width="9.75" bestFit="1" customWidth="1"/>
    <col min="4" max="4" width="9.625" bestFit="1" customWidth="1"/>
    <col min="5" max="5" width="11.375" bestFit="1" customWidth="1"/>
  </cols>
  <sheetData>
    <row r="2" spans="1:8">
      <c r="B2" s="9" t="s">
        <v>41</v>
      </c>
      <c r="C2" s="10"/>
      <c r="D2" s="15" t="s">
        <v>69</v>
      </c>
      <c r="E2" t="s">
        <v>70</v>
      </c>
    </row>
    <row r="3" spans="1:8" ht="51">
      <c r="A3" t="str">
        <f>MID(B:B,1,9)</f>
        <v>AGS100090</v>
      </c>
      <c r="B3" s="11" t="s">
        <v>43</v>
      </c>
      <c r="C3" s="12">
        <v>200</v>
      </c>
      <c r="D3" s="15">
        <v>7.0000000000000007E-2</v>
      </c>
      <c r="E3" s="16">
        <f>C3*D3</f>
        <v>14.000000000000002</v>
      </c>
      <c r="H3" t="s">
        <v>71</v>
      </c>
    </row>
    <row r="4" spans="1:8" ht="63.75">
      <c r="A4" t="str">
        <f>MID(B:B,1,9)</f>
        <v>AGS100010</v>
      </c>
      <c r="B4" s="13" t="s">
        <v>0</v>
      </c>
      <c r="C4" s="12">
        <v>4350</v>
      </c>
      <c r="D4" s="15">
        <v>0</v>
      </c>
      <c r="E4" s="16">
        <f>C4*D4</f>
        <v>0</v>
      </c>
      <c r="H4" t="s">
        <v>72</v>
      </c>
    </row>
    <row r="5" spans="1:8" ht="63.75">
      <c r="A5" t="str">
        <f>MID(B:B,1,9)</f>
        <v>AGS100091</v>
      </c>
      <c r="B5" s="11" t="s">
        <v>44</v>
      </c>
      <c r="C5" s="12">
        <v>1200</v>
      </c>
      <c r="D5" s="15">
        <v>0</v>
      </c>
      <c r="E5" s="16">
        <f t="shared" ref="E5:E30" si="0">C5*D5</f>
        <v>0</v>
      </c>
      <c r="H5" t="s">
        <v>73</v>
      </c>
    </row>
    <row r="6" spans="1:8" ht="63.75">
      <c r="A6" t="str">
        <f>MID(B:B,1,9)</f>
        <v>AGS100015</v>
      </c>
      <c r="B6" s="13" t="s">
        <v>3</v>
      </c>
      <c r="C6" s="12">
        <v>4950</v>
      </c>
      <c r="D6" s="15">
        <v>0</v>
      </c>
      <c r="E6" s="16">
        <f t="shared" si="0"/>
        <v>0</v>
      </c>
      <c r="H6" t="s">
        <v>74</v>
      </c>
    </row>
    <row r="7" spans="1:8" ht="63.75">
      <c r="A7" t="str">
        <f>MID(B:B,1,9)</f>
        <v>AGS100017</v>
      </c>
      <c r="B7" s="13" t="s">
        <v>4</v>
      </c>
      <c r="C7" s="12">
        <v>5750</v>
      </c>
      <c r="D7" s="15">
        <v>0</v>
      </c>
      <c r="E7" s="16">
        <f t="shared" si="0"/>
        <v>0</v>
      </c>
      <c r="H7" t="s">
        <v>75</v>
      </c>
    </row>
    <row r="8" spans="1:8" ht="51">
      <c r="A8" t="str">
        <f>MID(B:B,1,9)</f>
        <v>AGS100020</v>
      </c>
      <c r="B8" s="13" t="s">
        <v>5</v>
      </c>
      <c r="C8" s="12">
        <v>10625</v>
      </c>
      <c r="D8" s="15">
        <v>0</v>
      </c>
      <c r="E8" s="16">
        <f t="shared" si="0"/>
        <v>0</v>
      </c>
      <c r="H8" t="s">
        <v>76</v>
      </c>
    </row>
    <row r="9" spans="1:8" ht="38.25">
      <c r="A9" t="str">
        <f>MID(B:B,1,9)</f>
        <v>AGS100025</v>
      </c>
      <c r="B9" s="13" t="s">
        <v>45</v>
      </c>
      <c r="C9" s="12">
        <v>3900</v>
      </c>
      <c r="D9" s="15">
        <v>0</v>
      </c>
      <c r="E9" s="16">
        <f t="shared" si="0"/>
        <v>0</v>
      </c>
      <c r="H9" t="s">
        <v>77</v>
      </c>
    </row>
    <row r="10" spans="1:8" ht="51">
      <c r="A10" t="str">
        <f>MID(B:B,1,9)</f>
        <v>AGS100027</v>
      </c>
      <c r="B10" s="13" t="s">
        <v>46</v>
      </c>
      <c r="C10" s="12">
        <v>4900</v>
      </c>
      <c r="D10" s="15">
        <v>0</v>
      </c>
      <c r="E10" s="16">
        <f t="shared" si="0"/>
        <v>0</v>
      </c>
      <c r="H10" t="s">
        <v>78</v>
      </c>
    </row>
    <row r="11" spans="1:8" ht="63.75">
      <c r="A11" t="str">
        <f>MID(B:B,1,9)</f>
        <v>AGS100031</v>
      </c>
      <c r="B11" s="13" t="s">
        <v>7</v>
      </c>
      <c r="C11" s="12">
        <v>6525</v>
      </c>
      <c r="D11" s="15">
        <v>0</v>
      </c>
      <c r="E11" s="16">
        <f t="shared" si="0"/>
        <v>0</v>
      </c>
      <c r="H11" t="s">
        <v>79</v>
      </c>
    </row>
    <row r="12" spans="1:8" ht="63.75">
      <c r="A12" t="str">
        <f>MID(B:B,1,9)</f>
        <v>AGS100033</v>
      </c>
      <c r="B12" s="13" t="s">
        <v>8</v>
      </c>
      <c r="C12" s="12">
        <v>3850</v>
      </c>
      <c r="D12" s="15">
        <v>0</v>
      </c>
      <c r="E12" s="16">
        <f t="shared" si="0"/>
        <v>0</v>
      </c>
      <c r="H12" t="s">
        <v>80</v>
      </c>
    </row>
    <row r="13" spans="1:8" ht="51">
      <c r="A13" t="str">
        <f>MID(B:B,1,9)</f>
        <v>AGS100037</v>
      </c>
      <c r="B13" s="13" t="s">
        <v>10</v>
      </c>
      <c r="C13" s="12">
        <v>7600</v>
      </c>
      <c r="D13" s="15">
        <v>0</v>
      </c>
      <c r="E13" s="16">
        <f t="shared" si="0"/>
        <v>0</v>
      </c>
      <c r="H13" t="s">
        <v>81</v>
      </c>
    </row>
    <row r="14" spans="1:8" ht="63.75">
      <c r="A14" t="str">
        <f>MID(B:B,1,9)</f>
        <v>AGS100041</v>
      </c>
      <c r="B14" s="13" t="s">
        <v>11</v>
      </c>
      <c r="C14" s="12">
        <v>5250</v>
      </c>
      <c r="D14" s="15">
        <v>0</v>
      </c>
      <c r="E14" s="16">
        <f t="shared" si="0"/>
        <v>0</v>
      </c>
      <c r="H14" t="s">
        <v>82</v>
      </c>
    </row>
    <row r="15" spans="1:8" ht="63.75">
      <c r="A15" t="str">
        <f>MID(B:B,1,9)</f>
        <v>AGS100042</v>
      </c>
      <c r="B15" s="13" t="s">
        <v>12</v>
      </c>
      <c r="C15" s="12">
        <v>3400</v>
      </c>
      <c r="D15" s="15">
        <v>0</v>
      </c>
      <c r="E15" s="16">
        <f t="shared" si="0"/>
        <v>0</v>
      </c>
      <c r="H15" t="s">
        <v>83</v>
      </c>
    </row>
    <row r="16" spans="1:8" ht="51">
      <c r="A16" t="str">
        <f>MID(B:B,1,9)</f>
        <v>AGS100043</v>
      </c>
      <c r="B16" s="13" t="s">
        <v>47</v>
      </c>
      <c r="C16" s="12">
        <v>6750</v>
      </c>
      <c r="D16" s="15">
        <v>0</v>
      </c>
      <c r="E16" s="16">
        <f t="shared" si="0"/>
        <v>0</v>
      </c>
      <c r="H16" t="s">
        <v>84</v>
      </c>
    </row>
    <row r="17" spans="1:8" ht="63.75">
      <c r="A17" t="str">
        <f>MID(B:B,1,9)</f>
        <v>AGS100044</v>
      </c>
      <c r="B17" s="13" t="s">
        <v>14</v>
      </c>
      <c r="C17" s="12">
        <v>6130</v>
      </c>
      <c r="D17" s="15">
        <v>0</v>
      </c>
      <c r="E17" s="16">
        <f t="shared" si="0"/>
        <v>0</v>
      </c>
      <c r="H17" t="s">
        <v>85</v>
      </c>
    </row>
    <row r="18" spans="1:8" ht="63.75">
      <c r="A18" t="str">
        <f>MID(B:B,1,9)</f>
        <v>AGS100045</v>
      </c>
      <c r="B18" s="13" t="s">
        <v>15</v>
      </c>
      <c r="C18" s="12">
        <v>1175</v>
      </c>
      <c r="D18" s="15">
        <v>0</v>
      </c>
      <c r="E18" s="16">
        <f t="shared" si="0"/>
        <v>0</v>
      </c>
      <c r="H18" t="s">
        <v>86</v>
      </c>
    </row>
    <row r="19" spans="1:8" ht="63.75">
      <c r="A19" t="str">
        <f>MID(B:B,1,9)</f>
        <v>AGS100047</v>
      </c>
      <c r="B19" s="13" t="s">
        <v>17</v>
      </c>
      <c r="C19" s="12">
        <v>950</v>
      </c>
      <c r="D19" s="15">
        <v>0</v>
      </c>
      <c r="E19" s="16">
        <f>C19*D19</f>
        <v>0</v>
      </c>
      <c r="H19" t="s">
        <v>87</v>
      </c>
    </row>
    <row r="20" spans="1:8" ht="51">
      <c r="A20" t="str">
        <f>MID(B:B,1,9)</f>
        <v>AGS100049</v>
      </c>
      <c r="B20" s="13" t="s">
        <v>19</v>
      </c>
      <c r="C20" s="12">
        <v>6175</v>
      </c>
      <c r="D20" s="15">
        <v>0</v>
      </c>
      <c r="E20" s="16">
        <f t="shared" si="0"/>
        <v>0</v>
      </c>
      <c r="H20" t="s">
        <v>88</v>
      </c>
    </row>
    <row r="21" spans="1:8" ht="63.75">
      <c r="A21" t="str">
        <f>MID(B:B,1,9)</f>
        <v>AGS100051</v>
      </c>
      <c r="B21" s="13" t="s">
        <v>20</v>
      </c>
      <c r="C21" s="12">
        <v>2300</v>
      </c>
      <c r="D21" s="15">
        <v>0</v>
      </c>
      <c r="E21" s="16">
        <f t="shared" si="0"/>
        <v>0</v>
      </c>
      <c r="H21" t="s">
        <v>89</v>
      </c>
    </row>
    <row r="22" spans="1:8" ht="63.75">
      <c r="A22" t="str">
        <f>MID(B:B,1,9)</f>
        <v>AGS100055</v>
      </c>
      <c r="B22" s="13" t="s">
        <v>21</v>
      </c>
      <c r="C22" s="12">
        <v>2300</v>
      </c>
      <c r="D22" s="15">
        <v>0</v>
      </c>
      <c r="E22" s="16">
        <f t="shared" si="0"/>
        <v>0</v>
      </c>
      <c r="H22" t="s">
        <v>90</v>
      </c>
    </row>
    <row r="23" spans="1:8" ht="51">
      <c r="A23" t="str">
        <f>MID(B:B,1,9)</f>
        <v>AGS100056</v>
      </c>
      <c r="B23" s="13" t="s">
        <v>22</v>
      </c>
      <c r="C23" s="12">
        <v>9450</v>
      </c>
      <c r="D23" s="15">
        <v>0</v>
      </c>
      <c r="E23" s="16">
        <f t="shared" si="0"/>
        <v>0</v>
      </c>
      <c r="H23" t="s">
        <v>91</v>
      </c>
    </row>
    <row r="24" spans="1:8" ht="51">
      <c r="A24" t="str">
        <f>MID(B:B,1,9)</f>
        <v>AGS100067</v>
      </c>
      <c r="B24" s="13" t="s">
        <v>23</v>
      </c>
      <c r="C24" s="12">
        <v>3525</v>
      </c>
      <c r="D24" s="15">
        <v>0</v>
      </c>
      <c r="E24" s="16">
        <f t="shared" si="0"/>
        <v>0</v>
      </c>
      <c r="H24" t="s">
        <v>92</v>
      </c>
    </row>
    <row r="25" spans="1:8" ht="25.5">
      <c r="A25" t="str">
        <f>MID(B:B,1,9)</f>
        <v>AGS100092</v>
      </c>
      <c r="B25" s="11" t="s">
        <v>48</v>
      </c>
      <c r="C25" s="12">
        <v>2000</v>
      </c>
      <c r="D25" s="15">
        <v>0</v>
      </c>
      <c r="E25" s="16">
        <f t="shared" si="0"/>
        <v>0</v>
      </c>
      <c r="H25" t="s">
        <v>93</v>
      </c>
    </row>
    <row r="26" spans="1:8" ht="51">
      <c r="A26" t="str">
        <f>MID(B:B,1,9)</f>
        <v>AGS100075</v>
      </c>
      <c r="B26" s="13" t="s">
        <v>24</v>
      </c>
      <c r="C26" s="12">
        <v>1050</v>
      </c>
      <c r="D26" s="15">
        <v>0</v>
      </c>
      <c r="E26" s="16">
        <f t="shared" si="0"/>
        <v>0</v>
      </c>
      <c r="H26" t="s">
        <v>94</v>
      </c>
    </row>
    <row r="27" spans="1:8" ht="51">
      <c r="A27" t="str">
        <f>MID(B:B,1,9)</f>
        <v>AGS100073</v>
      </c>
      <c r="B27" s="13" t="s">
        <v>26</v>
      </c>
      <c r="C27" s="12">
        <v>6200</v>
      </c>
      <c r="D27" s="15">
        <v>0</v>
      </c>
      <c r="E27" s="16">
        <f t="shared" si="0"/>
        <v>0</v>
      </c>
      <c r="H27" t="s">
        <v>95</v>
      </c>
    </row>
    <row r="28" spans="1:8" ht="63.75">
      <c r="A28" t="str">
        <f>MID(B:B,1,9)</f>
        <v>AGS100077</v>
      </c>
      <c r="B28" s="13" t="s">
        <v>28</v>
      </c>
      <c r="C28" s="12">
        <v>1900</v>
      </c>
      <c r="D28" s="15">
        <v>0</v>
      </c>
      <c r="E28" s="16">
        <f t="shared" si="0"/>
        <v>0</v>
      </c>
      <c r="H28" t="s">
        <v>96</v>
      </c>
    </row>
    <row r="29" spans="1:8" ht="63.75">
      <c r="A29" t="str">
        <f>MID(B:B,1,9)</f>
        <v>AGS100093</v>
      </c>
      <c r="B29" s="11" t="s">
        <v>49</v>
      </c>
      <c r="C29" s="12">
        <v>400</v>
      </c>
      <c r="D29" s="15">
        <v>0.1</v>
      </c>
      <c r="E29" s="16">
        <f t="shared" si="0"/>
        <v>40</v>
      </c>
      <c r="H29" t="s">
        <v>97</v>
      </c>
    </row>
    <row r="30" spans="1:8" ht="64.5" thickBot="1">
      <c r="A30" t="str">
        <f>MID(B:B,1,9)</f>
        <v>AGS100080</v>
      </c>
      <c r="B30" s="13" t="s">
        <v>29</v>
      </c>
      <c r="C30" s="12">
        <v>4750</v>
      </c>
      <c r="D30" s="15">
        <v>0</v>
      </c>
      <c r="E30" s="16">
        <f t="shared" si="0"/>
        <v>0</v>
      </c>
      <c r="H30" t="s">
        <v>98</v>
      </c>
    </row>
    <row r="31" spans="1:8" ht="15" thickTop="1">
      <c r="B31" s="10"/>
      <c r="C31" s="14">
        <v>117555</v>
      </c>
      <c r="D31" s="15"/>
      <c r="H31" t="s">
        <v>42</v>
      </c>
    </row>
    <row r="32" spans="1:8">
      <c r="A32" t="str">
        <f>MID(B:B,1,9)</f>
        <v>EGRESOS</v>
      </c>
      <c r="B32" s="9" t="s">
        <v>42</v>
      </c>
      <c r="C32" s="10"/>
      <c r="D32" s="15"/>
      <c r="H32" t="s">
        <v>99</v>
      </c>
    </row>
    <row r="33" spans="1:8" ht="51">
      <c r="A33" t="str">
        <f>MID(B:B,1,9)</f>
        <v>AGS100002</v>
      </c>
      <c r="B33" s="13" t="s">
        <v>1</v>
      </c>
      <c r="C33" s="12">
        <v>100</v>
      </c>
      <c r="D33" s="15" t="s">
        <v>69</v>
      </c>
      <c r="E33" t="s">
        <v>70</v>
      </c>
      <c r="H33" t="s">
        <v>100</v>
      </c>
    </row>
    <row r="34" spans="1:8" ht="63.75">
      <c r="A34" t="str">
        <f>MID(B:B,1,9)</f>
        <v>AGS100004</v>
      </c>
      <c r="B34" s="13" t="s">
        <v>2</v>
      </c>
      <c r="C34" s="12">
        <v>150</v>
      </c>
      <c r="D34" s="15">
        <v>7.0000000000000007E-2</v>
      </c>
      <c r="E34" s="16">
        <f>C34*D34</f>
        <v>10.500000000000002</v>
      </c>
      <c r="H34" t="s">
        <v>71</v>
      </c>
    </row>
    <row r="35" spans="1:8" ht="51">
      <c r="A35" t="str">
        <f>MID(B:B,1,9)</f>
        <v>AGS100090</v>
      </c>
      <c r="B35" s="13" t="s">
        <v>43</v>
      </c>
      <c r="C35" s="12">
        <v>200</v>
      </c>
      <c r="D35" s="15">
        <v>0</v>
      </c>
      <c r="E35" s="16">
        <f>C35*D35</f>
        <v>0</v>
      </c>
      <c r="H35" t="s">
        <v>71</v>
      </c>
    </row>
    <row r="36" spans="1:8" ht="51">
      <c r="A36" t="str">
        <f>MID(B:B,1,9)</f>
        <v>AGS100090</v>
      </c>
      <c r="B36" s="13" t="s">
        <v>50</v>
      </c>
      <c r="C36" s="12">
        <v>100</v>
      </c>
      <c r="D36" s="15">
        <v>0</v>
      </c>
      <c r="E36" s="16">
        <f t="shared" ref="E36:E49" si="1">C36*D36</f>
        <v>0</v>
      </c>
      <c r="H36" t="s">
        <v>101</v>
      </c>
    </row>
    <row r="37" spans="1:8" ht="51">
      <c r="A37" t="str">
        <f>MID(B:B,1,9)</f>
        <v>AGS100005</v>
      </c>
      <c r="B37" s="13" t="s">
        <v>6</v>
      </c>
      <c r="C37" s="12">
        <v>725</v>
      </c>
      <c r="D37" s="15">
        <v>0</v>
      </c>
      <c r="E37" s="16">
        <f t="shared" si="1"/>
        <v>0</v>
      </c>
      <c r="H37" t="s">
        <v>102</v>
      </c>
    </row>
    <row r="38" spans="1:8" ht="63.75">
      <c r="A38" t="str">
        <f>MID(B:B,1,9)</f>
        <v>AGS100094</v>
      </c>
      <c r="B38" s="13" t="s">
        <v>51</v>
      </c>
      <c r="C38" s="12">
        <v>100</v>
      </c>
      <c r="D38" s="15">
        <v>0</v>
      </c>
      <c r="E38" s="16">
        <f t="shared" si="1"/>
        <v>0</v>
      </c>
      <c r="H38" t="s">
        <v>102</v>
      </c>
    </row>
    <row r="39" spans="1:8" ht="51">
      <c r="A39" t="str">
        <f>MID(B:B,1,9)</f>
        <v>AGS100094</v>
      </c>
      <c r="B39" s="11" t="s">
        <v>52</v>
      </c>
      <c r="C39" s="12">
        <v>650</v>
      </c>
      <c r="D39" s="15">
        <v>0</v>
      </c>
      <c r="E39" s="16">
        <f t="shared" si="1"/>
        <v>0</v>
      </c>
      <c r="H39" t="s">
        <v>72</v>
      </c>
    </row>
    <row r="40" spans="1:8" ht="63.75">
      <c r="A40" t="str">
        <f>MID(B:B,1,9)</f>
        <v>AGS100010</v>
      </c>
      <c r="B40" s="13" t="s">
        <v>0</v>
      </c>
      <c r="C40" s="12">
        <v>0</v>
      </c>
      <c r="D40" s="15">
        <v>0</v>
      </c>
      <c r="E40" s="16">
        <f t="shared" si="1"/>
        <v>0</v>
      </c>
      <c r="H40" t="s">
        <v>103</v>
      </c>
    </row>
    <row r="41" spans="1:8" ht="76.5">
      <c r="A41" t="str">
        <f>MID(B:B,1,9)</f>
        <v>AGS100013</v>
      </c>
      <c r="B41" s="13" t="s">
        <v>9</v>
      </c>
      <c r="C41" s="12">
        <v>500</v>
      </c>
      <c r="D41" s="15">
        <v>0</v>
      </c>
      <c r="E41" s="16">
        <f t="shared" si="1"/>
        <v>0</v>
      </c>
      <c r="H41" t="s">
        <v>73</v>
      </c>
    </row>
    <row r="42" spans="1:8" ht="63.75">
      <c r="A42" t="str">
        <f>MID(B:B,1,9)</f>
        <v>AGS100091</v>
      </c>
      <c r="B42" s="13" t="s">
        <v>44</v>
      </c>
      <c r="C42" s="12">
        <v>0</v>
      </c>
      <c r="D42" s="15">
        <v>0</v>
      </c>
      <c r="E42" s="16">
        <f t="shared" si="1"/>
        <v>0</v>
      </c>
      <c r="H42" t="s">
        <v>74</v>
      </c>
    </row>
    <row r="43" spans="1:8" ht="63.75">
      <c r="A43" t="str">
        <f>MID(B:B,1,9)</f>
        <v>AGS100015</v>
      </c>
      <c r="B43" s="13" t="s">
        <v>3</v>
      </c>
      <c r="C43" s="12">
        <v>0</v>
      </c>
      <c r="D43" s="15">
        <v>0</v>
      </c>
      <c r="E43" s="16">
        <f t="shared" si="1"/>
        <v>0</v>
      </c>
      <c r="H43" t="s">
        <v>74</v>
      </c>
    </row>
    <row r="44" spans="1:8" ht="51">
      <c r="A44" t="str">
        <f>MID(B:B,1,9)</f>
        <v>AGS100015</v>
      </c>
      <c r="B44" s="13" t="s">
        <v>13</v>
      </c>
      <c r="C44" s="12">
        <v>200</v>
      </c>
      <c r="D44" s="15">
        <v>0</v>
      </c>
      <c r="E44" s="16">
        <f t="shared" si="1"/>
        <v>0</v>
      </c>
      <c r="H44" t="s">
        <v>75</v>
      </c>
    </row>
    <row r="45" spans="1:8" ht="63.75">
      <c r="A45" t="str">
        <f>MID(B:B,1,9)</f>
        <v>AGS100017</v>
      </c>
      <c r="B45" s="13" t="s">
        <v>4</v>
      </c>
      <c r="C45" s="12">
        <v>0</v>
      </c>
      <c r="D45" s="15">
        <v>0</v>
      </c>
      <c r="E45" s="16">
        <f t="shared" si="1"/>
        <v>0</v>
      </c>
      <c r="H45" t="s">
        <v>76</v>
      </c>
    </row>
    <row r="46" spans="1:8" ht="51">
      <c r="A46" t="str">
        <f>MID(B:B,1,9)</f>
        <v>AGS100020</v>
      </c>
      <c r="B46" s="13" t="s">
        <v>5</v>
      </c>
      <c r="C46" s="12">
        <v>0</v>
      </c>
      <c r="D46" s="15">
        <v>0</v>
      </c>
      <c r="E46" s="16">
        <f t="shared" si="1"/>
        <v>0</v>
      </c>
      <c r="H46" t="s">
        <v>104</v>
      </c>
    </row>
    <row r="47" spans="1:8" ht="51">
      <c r="A47" t="str">
        <f>MID(B:B,1,9)</f>
        <v>AGS100021</v>
      </c>
      <c r="B47" s="13" t="s">
        <v>16</v>
      </c>
      <c r="C47" s="12">
        <v>400</v>
      </c>
      <c r="D47" s="15">
        <v>0</v>
      </c>
      <c r="E47" s="16">
        <f t="shared" si="1"/>
        <v>0</v>
      </c>
      <c r="H47" t="s">
        <v>104</v>
      </c>
    </row>
    <row r="48" spans="1:8" ht="38.25">
      <c r="A48" t="str">
        <f>MID(B:B,1,9)</f>
        <v>AGS100021</v>
      </c>
      <c r="B48" s="13" t="s">
        <v>18</v>
      </c>
      <c r="C48" s="12">
        <v>150</v>
      </c>
      <c r="D48" s="15">
        <v>0</v>
      </c>
      <c r="E48" s="16">
        <f t="shared" si="1"/>
        <v>0</v>
      </c>
      <c r="H48" t="s">
        <v>105</v>
      </c>
    </row>
    <row r="49" spans="1:8" ht="63.75">
      <c r="A49" t="str">
        <f>MID(B:B,1,9)</f>
        <v>AGS100095</v>
      </c>
      <c r="B49" s="11" t="s">
        <v>53</v>
      </c>
      <c r="C49" s="12">
        <v>300</v>
      </c>
      <c r="D49" s="15">
        <v>0</v>
      </c>
      <c r="E49" s="16">
        <f t="shared" si="1"/>
        <v>0</v>
      </c>
      <c r="H49" t="s">
        <v>105</v>
      </c>
    </row>
    <row r="50" spans="1:8" ht="63.75">
      <c r="A50" t="str">
        <f>MID(B:B,1,9)</f>
        <v>AGS100095</v>
      </c>
      <c r="B50" s="13" t="s">
        <v>54</v>
      </c>
      <c r="C50" s="12">
        <v>605</v>
      </c>
      <c r="D50" s="15">
        <v>0</v>
      </c>
      <c r="E50" s="16">
        <f>C50*D50</f>
        <v>0</v>
      </c>
      <c r="H50" t="s">
        <v>106</v>
      </c>
    </row>
    <row r="51" spans="1:8" ht="63.75">
      <c r="A51" t="str">
        <f>MID(B:B,1,9)</f>
        <v>AGS100096</v>
      </c>
      <c r="B51" s="11" t="s">
        <v>55</v>
      </c>
      <c r="C51" s="12">
        <v>1</v>
      </c>
      <c r="D51" s="15">
        <v>0</v>
      </c>
      <c r="E51" s="16">
        <f t="shared" ref="E51:E96" si="2">C51*D51</f>
        <v>0</v>
      </c>
      <c r="H51" t="s">
        <v>77</v>
      </c>
    </row>
    <row r="52" spans="1:8" ht="38.25">
      <c r="A52" t="str">
        <f>MID(B:B,1,9)</f>
        <v>AGS100025</v>
      </c>
      <c r="B52" s="13" t="s">
        <v>45</v>
      </c>
      <c r="C52" s="12">
        <v>0</v>
      </c>
      <c r="D52" s="15">
        <v>0</v>
      </c>
      <c r="E52" s="16">
        <f t="shared" si="2"/>
        <v>0</v>
      </c>
      <c r="H52" t="s">
        <v>107</v>
      </c>
    </row>
    <row r="53" spans="1:8" ht="25.5">
      <c r="A53" t="str">
        <f>MID(B:B,1,9)</f>
        <v>AGS100097</v>
      </c>
      <c r="B53" s="11" t="s">
        <v>56</v>
      </c>
      <c r="C53" s="12">
        <v>105573</v>
      </c>
      <c r="D53" s="15">
        <v>0</v>
      </c>
      <c r="E53" s="16">
        <f t="shared" si="2"/>
        <v>0</v>
      </c>
      <c r="H53" t="s">
        <v>78</v>
      </c>
    </row>
    <row r="54" spans="1:8" ht="51">
      <c r="A54" t="str">
        <f>MID(B:B,1,9)</f>
        <v>AGS100027</v>
      </c>
      <c r="B54" s="13" t="s">
        <v>46</v>
      </c>
      <c r="C54" s="12">
        <v>0</v>
      </c>
      <c r="D54" s="15">
        <v>0</v>
      </c>
      <c r="E54" s="16">
        <f t="shared" si="2"/>
        <v>0</v>
      </c>
      <c r="H54" t="s">
        <v>108</v>
      </c>
    </row>
    <row r="55" spans="1:8" ht="76.5">
      <c r="A55" t="str">
        <f>MID(B:B,1,9)</f>
        <v>AGS100028</v>
      </c>
      <c r="B55" s="13" t="s">
        <v>40</v>
      </c>
      <c r="C55" s="12">
        <v>150</v>
      </c>
      <c r="D55" s="15">
        <v>0</v>
      </c>
      <c r="E55" s="16">
        <f t="shared" si="2"/>
        <v>0</v>
      </c>
      <c r="H55" t="s">
        <v>109</v>
      </c>
    </row>
    <row r="56" spans="1:8" ht="63.75">
      <c r="A56" t="str">
        <f>MID(B:B,1,9)</f>
        <v>AGS100029</v>
      </c>
      <c r="B56" s="13" t="s">
        <v>25</v>
      </c>
      <c r="C56" s="12">
        <v>350</v>
      </c>
      <c r="D56" s="15">
        <v>0</v>
      </c>
      <c r="E56" s="16">
        <f t="shared" si="2"/>
        <v>0</v>
      </c>
      <c r="H56" t="s">
        <v>110</v>
      </c>
    </row>
    <row r="57" spans="1:8" ht="63.75">
      <c r="A57" t="str">
        <f>MID(B:B,1,9)</f>
        <v>AGS100030</v>
      </c>
      <c r="B57" s="13" t="s">
        <v>27</v>
      </c>
      <c r="C57" s="12">
        <v>100</v>
      </c>
      <c r="D57" s="15">
        <v>0</v>
      </c>
      <c r="E57" s="16">
        <f t="shared" si="2"/>
        <v>0</v>
      </c>
      <c r="H57" t="s">
        <v>111</v>
      </c>
    </row>
    <row r="58" spans="1:8" ht="63.75">
      <c r="A58" t="str">
        <f>MID(B:B,1,9)</f>
        <v>AGS100098</v>
      </c>
      <c r="B58" s="11" t="s">
        <v>57</v>
      </c>
      <c r="C58" s="12">
        <v>150</v>
      </c>
      <c r="D58" s="15">
        <v>0</v>
      </c>
      <c r="E58" s="16">
        <f t="shared" si="2"/>
        <v>0</v>
      </c>
      <c r="H58" t="s">
        <v>79</v>
      </c>
    </row>
    <row r="59" spans="1:8" ht="63.75">
      <c r="A59" t="str">
        <f>MID(B:B,1,9)</f>
        <v>AGS100031</v>
      </c>
      <c r="B59" s="13" t="s">
        <v>7</v>
      </c>
      <c r="C59" s="12">
        <v>0</v>
      </c>
      <c r="D59" s="15">
        <v>0</v>
      </c>
      <c r="E59" s="16">
        <f t="shared" si="2"/>
        <v>0</v>
      </c>
      <c r="H59" t="s">
        <v>112</v>
      </c>
    </row>
    <row r="60" spans="1:8" ht="63.75">
      <c r="A60" t="str">
        <f>MID(B:B,1,9)</f>
        <v>AGS100032</v>
      </c>
      <c r="B60" s="13" t="s">
        <v>30</v>
      </c>
      <c r="C60" s="12">
        <v>500</v>
      </c>
      <c r="D60" s="15">
        <v>0.1</v>
      </c>
      <c r="E60" s="16">
        <f t="shared" si="2"/>
        <v>50</v>
      </c>
      <c r="H60" t="s">
        <v>80</v>
      </c>
    </row>
    <row r="61" spans="1:8" ht="63.75">
      <c r="A61" t="str">
        <f>MID(B:B,1,9)</f>
        <v>AGS100033</v>
      </c>
      <c r="B61" s="13" t="s">
        <v>8</v>
      </c>
      <c r="C61" s="12">
        <v>0</v>
      </c>
      <c r="D61" s="15">
        <v>0</v>
      </c>
      <c r="E61" s="16">
        <f t="shared" si="2"/>
        <v>0</v>
      </c>
      <c r="H61" t="s">
        <v>113</v>
      </c>
    </row>
    <row r="62" spans="1:8" ht="51">
      <c r="A62" t="str">
        <f>MID(B:B,1,9)</f>
        <v>AGS100036</v>
      </c>
      <c r="B62" s="13" t="s">
        <v>58</v>
      </c>
      <c r="C62" s="12">
        <v>200</v>
      </c>
      <c r="D62" s="15">
        <v>1</v>
      </c>
      <c r="E62" s="16">
        <f t="shared" si="2"/>
        <v>200</v>
      </c>
      <c r="H62" t="s">
        <v>113</v>
      </c>
    </row>
    <row r="63" spans="1:8" ht="51">
      <c r="A63" t="str">
        <f>MID(B:B,1,9)</f>
        <v>AGS100036</v>
      </c>
      <c r="B63" s="13" t="s">
        <v>59</v>
      </c>
      <c r="C63" s="12">
        <v>350</v>
      </c>
      <c r="D63" s="15">
        <v>2</v>
      </c>
      <c r="E63" s="16">
        <f t="shared" si="2"/>
        <v>700</v>
      </c>
      <c r="H63" t="s">
        <v>81</v>
      </c>
    </row>
    <row r="64" spans="1:8" ht="51">
      <c r="A64" t="str">
        <f>MID(B:B,1,9)</f>
        <v>AGS100037</v>
      </c>
      <c r="B64" s="13" t="s">
        <v>10</v>
      </c>
      <c r="C64" s="12">
        <v>0</v>
      </c>
      <c r="D64" s="15">
        <v>3</v>
      </c>
      <c r="E64" s="16">
        <f t="shared" si="2"/>
        <v>0</v>
      </c>
      <c r="H64" t="s">
        <v>82</v>
      </c>
    </row>
    <row r="65" spans="1:8" ht="63.75">
      <c r="A65" t="str">
        <f>MID(B:B,1,9)</f>
        <v>AGS100041</v>
      </c>
      <c r="B65" s="13" t="s">
        <v>11</v>
      </c>
      <c r="C65" s="12">
        <v>0</v>
      </c>
      <c r="D65" s="15">
        <v>4</v>
      </c>
      <c r="E65" s="16">
        <f t="shared" si="2"/>
        <v>0</v>
      </c>
      <c r="H65" t="s">
        <v>83</v>
      </c>
    </row>
    <row r="66" spans="1:8" ht="63.75">
      <c r="A66" t="str">
        <f>MID(B:B,1,9)</f>
        <v>AGS100042</v>
      </c>
      <c r="B66" s="13" t="s">
        <v>12</v>
      </c>
      <c r="C66" s="12">
        <v>0</v>
      </c>
      <c r="D66" s="15">
        <v>5</v>
      </c>
      <c r="E66" s="16">
        <f t="shared" si="2"/>
        <v>0</v>
      </c>
      <c r="H66" t="s">
        <v>114</v>
      </c>
    </row>
    <row r="67" spans="1:8" ht="51">
      <c r="A67" t="str">
        <f>MID(B:B,1,9)</f>
        <v>AGS100034</v>
      </c>
      <c r="B67" s="13" t="s">
        <v>60</v>
      </c>
      <c r="C67" s="12">
        <v>0</v>
      </c>
      <c r="D67" s="15">
        <v>6</v>
      </c>
      <c r="E67" s="16">
        <f t="shared" si="2"/>
        <v>0</v>
      </c>
      <c r="H67" t="s">
        <v>85</v>
      </c>
    </row>
    <row r="68" spans="1:8" ht="63.75">
      <c r="A68" t="str">
        <f>MID(B:B,1,9)</f>
        <v>AGS100044</v>
      </c>
      <c r="B68" s="13" t="s">
        <v>14</v>
      </c>
      <c r="C68" s="12">
        <v>0</v>
      </c>
      <c r="D68" s="15">
        <v>7</v>
      </c>
      <c r="E68" s="16">
        <f t="shared" si="2"/>
        <v>0</v>
      </c>
      <c r="H68" t="s">
        <v>86</v>
      </c>
    </row>
    <row r="69" spans="1:8" ht="63.75">
      <c r="A69" t="str">
        <f>MID(B:B,1,9)</f>
        <v>AGS100045</v>
      </c>
      <c r="B69" s="13" t="s">
        <v>15</v>
      </c>
      <c r="C69" s="12">
        <v>0</v>
      </c>
      <c r="D69" s="15">
        <v>8</v>
      </c>
      <c r="E69" s="16">
        <f t="shared" si="2"/>
        <v>0</v>
      </c>
      <c r="H69" t="s">
        <v>87</v>
      </c>
    </row>
    <row r="70" spans="1:8" ht="63.75">
      <c r="A70" t="str">
        <f>MID(B:B,1,9)</f>
        <v>AGS100047</v>
      </c>
      <c r="B70" s="13" t="s">
        <v>17</v>
      </c>
      <c r="C70" s="12">
        <v>0</v>
      </c>
      <c r="D70" s="15">
        <v>9</v>
      </c>
      <c r="E70" s="16">
        <f t="shared" si="2"/>
        <v>0</v>
      </c>
      <c r="H70" t="s">
        <v>115</v>
      </c>
    </row>
    <row r="71" spans="1:8" ht="63.75">
      <c r="A71" t="str">
        <f>MID(B:B,1,9)</f>
        <v>AGS100046</v>
      </c>
      <c r="B71" s="13" t="s">
        <v>31</v>
      </c>
      <c r="C71" s="12">
        <v>400</v>
      </c>
      <c r="D71" s="15">
        <v>10</v>
      </c>
      <c r="E71" s="16">
        <f t="shared" si="2"/>
        <v>4000</v>
      </c>
      <c r="H71" t="s">
        <v>88</v>
      </c>
    </row>
    <row r="72" spans="1:8" ht="51">
      <c r="A72" t="str">
        <f>MID(B:B,1,9)</f>
        <v>AGS100049</v>
      </c>
      <c r="B72" s="13" t="s">
        <v>19</v>
      </c>
      <c r="C72" s="12">
        <v>0</v>
      </c>
      <c r="D72" s="15">
        <v>11</v>
      </c>
      <c r="E72" s="16">
        <f t="shared" si="2"/>
        <v>0</v>
      </c>
      <c r="H72" t="s">
        <v>116</v>
      </c>
    </row>
    <row r="73" spans="1:8" ht="51">
      <c r="A73" t="str">
        <f>MID(B:B,1,9)</f>
        <v>AGS100099</v>
      </c>
      <c r="B73" s="11" t="s">
        <v>61</v>
      </c>
      <c r="C73" s="12">
        <v>700</v>
      </c>
      <c r="D73" s="15">
        <v>12</v>
      </c>
      <c r="E73" s="16">
        <f t="shared" si="2"/>
        <v>8400</v>
      </c>
      <c r="H73" t="s">
        <v>89</v>
      </c>
    </row>
    <row r="74" spans="1:8" ht="63.75">
      <c r="A74" t="str">
        <f>MID(B:B,1,9)</f>
        <v>AGS100051</v>
      </c>
      <c r="B74" s="13" t="s">
        <v>20</v>
      </c>
      <c r="C74" s="12">
        <v>0</v>
      </c>
      <c r="D74" s="15">
        <v>13</v>
      </c>
      <c r="E74" s="16">
        <f t="shared" si="2"/>
        <v>0</v>
      </c>
      <c r="H74" t="s">
        <v>117</v>
      </c>
    </row>
    <row r="75" spans="1:8" ht="51">
      <c r="A75" t="str">
        <f>MID(B:B,1,9)</f>
        <v>AGS1000JU</v>
      </c>
      <c r="B75" s="13" t="s">
        <v>32</v>
      </c>
      <c r="C75" s="12">
        <v>300</v>
      </c>
      <c r="D75" s="15">
        <v>14</v>
      </c>
      <c r="E75" s="16">
        <f t="shared" si="2"/>
        <v>4200</v>
      </c>
      <c r="H75" t="s">
        <v>118</v>
      </c>
    </row>
    <row r="76" spans="1:8" ht="63.75">
      <c r="A76" t="str">
        <f>MID(B:B,1,9)</f>
        <v>AGS100053</v>
      </c>
      <c r="B76" s="13" t="s">
        <v>33</v>
      </c>
      <c r="C76" s="12">
        <v>600</v>
      </c>
      <c r="D76" s="15">
        <v>15</v>
      </c>
      <c r="E76" s="16">
        <f t="shared" si="2"/>
        <v>9000</v>
      </c>
      <c r="H76" t="s">
        <v>118</v>
      </c>
    </row>
    <row r="77" spans="1:8" ht="63.75">
      <c r="A77" t="str">
        <f>MID(B:B,1,9)</f>
        <v>AGS100053</v>
      </c>
      <c r="B77" s="13" t="s">
        <v>34</v>
      </c>
      <c r="C77" s="12">
        <v>150</v>
      </c>
      <c r="D77" s="15">
        <v>16</v>
      </c>
      <c r="E77" s="16">
        <f t="shared" si="2"/>
        <v>2400</v>
      </c>
      <c r="H77" t="s">
        <v>119</v>
      </c>
    </row>
    <row r="78" spans="1:8" ht="51">
      <c r="A78" t="str">
        <f>MID(B:B,1,9)</f>
        <v>AGS100100</v>
      </c>
      <c r="B78" s="11" t="s">
        <v>62</v>
      </c>
      <c r="C78" s="12">
        <v>1</v>
      </c>
      <c r="D78" s="15">
        <v>17</v>
      </c>
      <c r="E78" s="16">
        <f t="shared" si="2"/>
        <v>17</v>
      </c>
      <c r="H78" t="s">
        <v>90</v>
      </c>
    </row>
    <row r="79" spans="1:8" ht="63.75">
      <c r="A79" t="str">
        <f>MID(B:B,1,9)</f>
        <v>AGS100055</v>
      </c>
      <c r="B79" s="13" t="s">
        <v>21</v>
      </c>
      <c r="C79" s="12">
        <v>0</v>
      </c>
      <c r="D79" s="15">
        <v>18</v>
      </c>
      <c r="E79" s="16">
        <f t="shared" si="2"/>
        <v>0</v>
      </c>
      <c r="H79" t="s">
        <v>91</v>
      </c>
    </row>
    <row r="80" spans="1:8" ht="51">
      <c r="A80" t="str">
        <f>MID(B:B,1,9)</f>
        <v>AGS100056</v>
      </c>
      <c r="B80" s="13" t="s">
        <v>22</v>
      </c>
      <c r="C80" s="12">
        <v>0</v>
      </c>
      <c r="D80" s="15">
        <v>19</v>
      </c>
      <c r="E80" s="16">
        <f t="shared" si="2"/>
        <v>0</v>
      </c>
      <c r="H80" t="s">
        <v>120</v>
      </c>
    </row>
    <row r="81" spans="1:8" ht="63.75">
      <c r="A81" t="str">
        <f>MID(B:B,1,9)</f>
        <v>AGS100057</v>
      </c>
      <c r="B81" s="13" t="s">
        <v>35</v>
      </c>
      <c r="C81" s="12">
        <v>1050</v>
      </c>
      <c r="D81" s="15">
        <v>20</v>
      </c>
      <c r="E81" s="16">
        <f t="shared" si="2"/>
        <v>21000</v>
      </c>
      <c r="H81" t="s">
        <v>121</v>
      </c>
    </row>
    <row r="82" spans="1:8" ht="63.75">
      <c r="A82" t="str">
        <f>MID(B:B,1,9)</f>
        <v>AGS100059</v>
      </c>
      <c r="B82" s="13" t="s">
        <v>36</v>
      </c>
      <c r="C82" s="12">
        <v>400</v>
      </c>
      <c r="D82" s="15">
        <v>21</v>
      </c>
      <c r="E82" s="16">
        <f t="shared" si="2"/>
        <v>8400</v>
      </c>
      <c r="H82" t="s">
        <v>122</v>
      </c>
    </row>
    <row r="83" spans="1:8" ht="63.75">
      <c r="A83" t="str">
        <f>MID(B:B,1,9)</f>
        <v>AGS100060</v>
      </c>
      <c r="B83" s="13" t="s">
        <v>37</v>
      </c>
      <c r="C83" s="12">
        <v>200</v>
      </c>
      <c r="D83" s="15">
        <v>22</v>
      </c>
      <c r="E83" s="16">
        <f t="shared" si="2"/>
        <v>4400</v>
      </c>
      <c r="H83" t="s">
        <v>92</v>
      </c>
    </row>
    <row r="84" spans="1:8" ht="51">
      <c r="A84" t="str">
        <f>MID(B:B,1,9)</f>
        <v>AGS100067</v>
      </c>
      <c r="B84" s="13" t="s">
        <v>23</v>
      </c>
      <c r="C84" s="12">
        <v>0</v>
      </c>
      <c r="D84" s="15">
        <v>23</v>
      </c>
      <c r="E84" s="16">
        <f t="shared" si="2"/>
        <v>0</v>
      </c>
      <c r="H84" t="s">
        <v>123</v>
      </c>
    </row>
    <row r="85" spans="1:8" ht="51">
      <c r="A85" t="str">
        <f>MID(B:B,1,9)</f>
        <v>AGS100068</v>
      </c>
      <c r="B85" s="13" t="s">
        <v>63</v>
      </c>
      <c r="C85" s="12">
        <v>200</v>
      </c>
      <c r="D85" s="15">
        <v>24</v>
      </c>
      <c r="E85" s="16">
        <f t="shared" si="2"/>
        <v>4800</v>
      </c>
      <c r="H85" t="s">
        <v>93</v>
      </c>
    </row>
    <row r="86" spans="1:8" ht="25.5">
      <c r="A86" t="str">
        <f>MID(B:B,1,9)</f>
        <v>AGS100092</v>
      </c>
      <c r="B86" s="13" t="s">
        <v>48</v>
      </c>
      <c r="C86" s="12">
        <v>0</v>
      </c>
      <c r="D86" s="15">
        <v>25</v>
      </c>
      <c r="E86" s="16">
        <f t="shared" si="2"/>
        <v>0</v>
      </c>
      <c r="H86" t="s">
        <v>124</v>
      </c>
    </row>
    <row r="87" spans="1:8" ht="51">
      <c r="A87" t="str">
        <f>MID(B:B,1,9)</f>
        <v>AGS100071</v>
      </c>
      <c r="B87" s="13" t="s">
        <v>38</v>
      </c>
      <c r="C87" s="12">
        <v>100</v>
      </c>
      <c r="D87" s="15">
        <v>26</v>
      </c>
      <c r="E87" s="16">
        <f t="shared" si="2"/>
        <v>2600</v>
      </c>
      <c r="H87" t="s">
        <v>125</v>
      </c>
    </row>
    <row r="88" spans="1:8" ht="63.75">
      <c r="A88" t="str">
        <f>MID(B:B,1,9)</f>
        <v>AGS100074</v>
      </c>
      <c r="B88" s="13" t="s">
        <v>39</v>
      </c>
      <c r="C88" s="12">
        <v>350</v>
      </c>
      <c r="D88" s="15">
        <v>27</v>
      </c>
      <c r="E88" s="16">
        <f t="shared" si="2"/>
        <v>9450</v>
      </c>
      <c r="H88" t="s">
        <v>126</v>
      </c>
    </row>
    <row r="89" spans="1:8" ht="51">
      <c r="A89" t="str">
        <f>MID(B:B,1,9)</f>
        <v>AGS100101</v>
      </c>
      <c r="B89" s="11" t="s">
        <v>64</v>
      </c>
      <c r="C89" s="12">
        <v>150</v>
      </c>
      <c r="D89" s="15">
        <v>28</v>
      </c>
      <c r="E89" s="16">
        <f t="shared" si="2"/>
        <v>4200</v>
      </c>
      <c r="H89" t="s">
        <v>94</v>
      </c>
    </row>
    <row r="90" spans="1:8" ht="51">
      <c r="A90" t="str">
        <f>MID(B:B,1,9)</f>
        <v>AGS100075</v>
      </c>
      <c r="B90" s="13" t="s">
        <v>24</v>
      </c>
      <c r="C90" s="12">
        <v>0</v>
      </c>
      <c r="D90" s="15">
        <v>29</v>
      </c>
      <c r="E90" s="16">
        <f t="shared" si="2"/>
        <v>0</v>
      </c>
      <c r="H90" t="s">
        <v>95</v>
      </c>
    </row>
    <row r="91" spans="1:8" ht="51">
      <c r="A91" t="str">
        <f>MID(B:B,1,9)</f>
        <v>AGS100073</v>
      </c>
      <c r="B91" s="13" t="s">
        <v>26</v>
      </c>
      <c r="C91" s="12">
        <v>0</v>
      </c>
      <c r="D91" s="15">
        <v>30</v>
      </c>
      <c r="E91" s="16">
        <f t="shared" si="2"/>
        <v>0</v>
      </c>
      <c r="H91" t="s">
        <v>127</v>
      </c>
    </row>
    <row r="92" spans="1:8" ht="51">
      <c r="A92" t="str">
        <f>MID(B:B,1,9)</f>
        <v>AGS100102</v>
      </c>
      <c r="B92" s="11" t="s">
        <v>65</v>
      </c>
      <c r="C92" s="12">
        <v>1200</v>
      </c>
      <c r="D92" s="15">
        <v>31</v>
      </c>
      <c r="E92" s="16">
        <f t="shared" si="2"/>
        <v>37200</v>
      </c>
      <c r="H92" t="s">
        <v>96</v>
      </c>
    </row>
    <row r="93" spans="1:8" ht="63.75">
      <c r="A93" t="str">
        <f>MID(B:B,1,9)</f>
        <v>AGS100077</v>
      </c>
      <c r="B93" s="13" t="s">
        <v>28</v>
      </c>
      <c r="C93" s="12">
        <v>0</v>
      </c>
      <c r="D93" s="15">
        <v>32</v>
      </c>
      <c r="E93" s="16">
        <f t="shared" si="2"/>
        <v>0</v>
      </c>
      <c r="H93" t="s">
        <v>97</v>
      </c>
    </row>
    <row r="94" spans="1:8" ht="63.75">
      <c r="A94" t="str">
        <f>MID(B:B,1,9)</f>
        <v>AGS100093</v>
      </c>
      <c r="B94" s="11" t="s">
        <v>49</v>
      </c>
      <c r="C94" s="12">
        <v>0</v>
      </c>
      <c r="D94" s="15">
        <v>33</v>
      </c>
      <c r="E94" s="16">
        <f t="shared" si="2"/>
        <v>0</v>
      </c>
      <c r="H94" t="s">
        <v>98</v>
      </c>
    </row>
    <row r="95" spans="1:8" ht="63.75">
      <c r="A95" t="str">
        <f>MID(B:B,1,9)</f>
        <v>AGS100080</v>
      </c>
      <c r="B95" s="13" t="s">
        <v>29</v>
      </c>
      <c r="C95" s="12">
        <v>0</v>
      </c>
      <c r="D95" s="15">
        <v>34</v>
      </c>
      <c r="E95" s="16">
        <f t="shared" si="2"/>
        <v>0</v>
      </c>
      <c r="H95" t="s">
        <v>128</v>
      </c>
    </row>
    <row r="96" spans="1:8" ht="51">
      <c r="A96" t="str">
        <f>MID(B:B,1,9)</f>
        <v>AGS100103</v>
      </c>
      <c r="B96" s="11" t="s">
        <v>66</v>
      </c>
      <c r="C96" s="12">
        <v>200</v>
      </c>
      <c r="D96" s="15">
        <v>35</v>
      </c>
      <c r="E96" s="16">
        <f t="shared" si="2"/>
        <v>7000</v>
      </c>
      <c r="H96" t="s">
        <v>41</v>
      </c>
    </row>
    <row r="97" spans="1:8">
      <c r="A97" t="str">
        <f>MID(B:B,1,9)</f>
        <v>INGRESOS</v>
      </c>
      <c r="B97" s="9" t="s">
        <v>41</v>
      </c>
      <c r="C97" s="10"/>
      <c r="D97" s="15" t="s">
        <v>69</v>
      </c>
      <c r="E97" t="s">
        <v>70</v>
      </c>
      <c r="H97" t="s">
        <v>71</v>
      </c>
    </row>
    <row r="98" spans="1:8" ht="51">
      <c r="A98" t="str">
        <f>MID(B:B,1,9)</f>
        <v>AGS100090</v>
      </c>
      <c r="B98" s="11" t="s">
        <v>43</v>
      </c>
      <c r="C98" s="12">
        <v>200</v>
      </c>
      <c r="D98" s="15">
        <v>7.0000000000000007E-2</v>
      </c>
      <c r="E98" s="16">
        <f>C98*D98</f>
        <v>14.000000000000002</v>
      </c>
      <c r="H98" t="s">
        <v>72</v>
      </c>
    </row>
    <row r="99" spans="1:8" ht="63.75">
      <c r="A99" t="str">
        <f>MID(B:B,1,9)</f>
        <v>AGS100010</v>
      </c>
      <c r="B99" s="13" t="s">
        <v>0</v>
      </c>
      <c r="C99" s="12">
        <v>4350</v>
      </c>
      <c r="D99" s="15">
        <v>0</v>
      </c>
      <c r="E99" s="16">
        <f>C99*D99</f>
        <v>0</v>
      </c>
      <c r="H99" t="s">
        <v>73</v>
      </c>
    </row>
    <row r="100" spans="1:8" ht="63.75">
      <c r="A100" t="str">
        <f>MID(B:B,1,9)</f>
        <v>AGS100091</v>
      </c>
      <c r="B100" s="11" t="s">
        <v>44</v>
      </c>
      <c r="C100" s="12">
        <v>1200</v>
      </c>
      <c r="D100" s="15">
        <v>0</v>
      </c>
      <c r="E100" s="16">
        <f t="shared" ref="E100:E125" si="3">C100*D100</f>
        <v>0</v>
      </c>
      <c r="H100" t="s">
        <v>74</v>
      </c>
    </row>
    <row r="101" spans="1:8" ht="63.75">
      <c r="A101" t="str">
        <f>MID(B:B,1,9)</f>
        <v>AGS100015</v>
      </c>
      <c r="B101" s="13" t="s">
        <v>3</v>
      </c>
      <c r="C101" s="12">
        <v>4950</v>
      </c>
      <c r="D101" s="15">
        <v>0</v>
      </c>
      <c r="E101" s="16">
        <f t="shared" si="3"/>
        <v>0</v>
      </c>
      <c r="H101" t="s">
        <v>75</v>
      </c>
    </row>
    <row r="102" spans="1:8" ht="63.75">
      <c r="A102" t="str">
        <f>MID(B:B,1,9)</f>
        <v>AGS100017</v>
      </c>
      <c r="B102" s="13" t="s">
        <v>4</v>
      </c>
      <c r="C102" s="12">
        <v>5750</v>
      </c>
      <c r="D102" s="15">
        <v>0</v>
      </c>
      <c r="E102" s="16">
        <f t="shared" si="3"/>
        <v>0</v>
      </c>
      <c r="H102" t="s">
        <v>76</v>
      </c>
    </row>
    <row r="103" spans="1:8" ht="51">
      <c r="A103" t="str">
        <f>MID(B:B,1,9)</f>
        <v>AGS100020</v>
      </c>
      <c r="B103" s="13" t="s">
        <v>5</v>
      </c>
      <c r="C103" s="12">
        <v>10625</v>
      </c>
      <c r="D103" s="15">
        <v>0</v>
      </c>
      <c r="E103" s="16">
        <f t="shared" si="3"/>
        <v>0</v>
      </c>
      <c r="H103" t="s">
        <v>77</v>
      </c>
    </row>
    <row r="104" spans="1:8" ht="38.25">
      <c r="A104" t="str">
        <f>MID(B:B,1,9)</f>
        <v>AGS100025</v>
      </c>
      <c r="B104" s="13" t="s">
        <v>45</v>
      </c>
      <c r="C104" s="12">
        <v>3900</v>
      </c>
      <c r="D104" s="15">
        <v>0</v>
      </c>
      <c r="E104" s="16">
        <f t="shared" si="3"/>
        <v>0</v>
      </c>
      <c r="H104" t="s">
        <v>78</v>
      </c>
    </row>
    <row r="105" spans="1:8" ht="51">
      <c r="A105" t="str">
        <f>MID(B:B,1,9)</f>
        <v>AGS100027</v>
      </c>
      <c r="B105" s="13" t="s">
        <v>46</v>
      </c>
      <c r="C105" s="12">
        <v>4900</v>
      </c>
      <c r="D105" s="15">
        <v>0</v>
      </c>
      <c r="E105" s="16">
        <f t="shared" si="3"/>
        <v>0</v>
      </c>
      <c r="H105" t="s">
        <v>79</v>
      </c>
    </row>
    <row r="106" spans="1:8" ht="63.75">
      <c r="A106" t="str">
        <f>MID(B:B,1,9)</f>
        <v>AGS100031</v>
      </c>
      <c r="B106" s="13" t="s">
        <v>7</v>
      </c>
      <c r="C106" s="12">
        <v>6525</v>
      </c>
      <c r="D106" s="15">
        <v>0</v>
      </c>
      <c r="E106" s="16">
        <f t="shared" si="3"/>
        <v>0</v>
      </c>
      <c r="H106" t="s">
        <v>80</v>
      </c>
    </row>
    <row r="107" spans="1:8" ht="63.75">
      <c r="A107" t="str">
        <f>MID(B:B,1,9)</f>
        <v>AGS100033</v>
      </c>
      <c r="B107" s="13" t="s">
        <v>8</v>
      </c>
      <c r="C107" s="12">
        <v>3850</v>
      </c>
      <c r="D107" s="15">
        <v>0</v>
      </c>
      <c r="E107" s="16">
        <f t="shared" si="3"/>
        <v>0</v>
      </c>
      <c r="H107" t="s">
        <v>81</v>
      </c>
    </row>
    <row r="108" spans="1:8" ht="51">
      <c r="A108" t="str">
        <f>MID(B:B,1,9)</f>
        <v>AGS100037</v>
      </c>
      <c r="B108" s="13" t="s">
        <v>10</v>
      </c>
      <c r="C108" s="12">
        <v>7600</v>
      </c>
      <c r="D108" s="15">
        <v>0</v>
      </c>
      <c r="E108" s="16">
        <f t="shared" si="3"/>
        <v>0</v>
      </c>
      <c r="H108" t="s">
        <v>82</v>
      </c>
    </row>
    <row r="109" spans="1:8" ht="63.75">
      <c r="A109" t="str">
        <f>MID(B:B,1,9)</f>
        <v>AGS100041</v>
      </c>
      <c r="B109" s="13" t="s">
        <v>11</v>
      </c>
      <c r="C109" s="12">
        <v>5250</v>
      </c>
      <c r="D109" s="15">
        <v>0</v>
      </c>
      <c r="E109" s="16">
        <f t="shared" si="3"/>
        <v>0</v>
      </c>
      <c r="H109" t="s">
        <v>83</v>
      </c>
    </row>
    <row r="110" spans="1:8" ht="63.75">
      <c r="A110" t="str">
        <f>MID(B:B,1,9)</f>
        <v>AGS100042</v>
      </c>
      <c r="B110" s="13" t="s">
        <v>12</v>
      </c>
      <c r="C110" s="12">
        <v>3400</v>
      </c>
      <c r="D110" s="15">
        <v>0</v>
      </c>
      <c r="E110" s="16">
        <f t="shared" si="3"/>
        <v>0</v>
      </c>
      <c r="H110" t="s">
        <v>84</v>
      </c>
    </row>
    <row r="111" spans="1:8" ht="51">
      <c r="A111" t="str">
        <f>MID(B:B,1,9)</f>
        <v>AGS100043</v>
      </c>
      <c r="B111" s="13" t="s">
        <v>47</v>
      </c>
      <c r="C111" s="12">
        <v>6750</v>
      </c>
      <c r="D111" s="15">
        <v>0</v>
      </c>
      <c r="E111" s="16">
        <f t="shared" si="3"/>
        <v>0</v>
      </c>
      <c r="H111" t="s">
        <v>85</v>
      </c>
    </row>
    <row r="112" spans="1:8" ht="63.75">
      <c r="A112" t="str">
        <f>MID(B:B,1,9)</f>
        <v>AGS100044</v>
      </c>
      <c r="B112" s="13" t="s">
        <v>14</v>
      </c>
      <c r="C112" s="12">
        <v>6130</v>
      </c>
      <c r="D112" s="15">
        <v>0</v>
      </c>
      <c r="E112" s="16">
        <f t="shared" si="3"/>
        <v>0</v>
      </c>
      <c r="H112" t="s">
        <v>86</v>
      </c>
    </row>
    <row r="113" spans="1:8" ht="63.75">
      <c r="A113" t="str">
        <f>MID(B:B,1,9)</f>
        <v>AGS100045</v>
      </c>
      <c r="B113" s="13" t="s">
        <v>15</v>
      </c>
      <c r="C113" s="12">
        <v>1175</v>
      </c>
      <c r="D113" s="15">
        <v>0</v>
      </c>
      <c r="E113" s="16">
        <f t="shared" si="3"/>
        <v>0</v>
      </c>
      <c r="H113" t="s">
        <v>87</v>
      </c>
    </row>
    <row r="114" spans="1:8" ht="63.75">
      <c r="A114" t="str">
        <f>MID(B:B,1,9)</f>
        <v>AGS100047</v>
      </c>
      <c r="B114" s="13" t="s">
        <v>17</v>
      </c>
      <c r="C114" s="12">
        <v>950</v>
      </c>
      <c r="D114" s="15">
        <v>0</v>
      </c>
      <c r="E114" s="16">
        <f>C114*D114</f>
        <v>0</v>
      </c>
      <c r="H114" t="s">
        <v>88</v>
      </c>
    </row>
    <row r="115" spans="1:8" ht="51">
      <c r="A115" t="str">
        <f>MID(B:B,1,9)</f>
        <v>AGS100049</v>
      </c>
      <c r="B115" s="13" t="s">
        <v>19</v>
      </c>
      <c r="C115" s="12">
        <v>6175</v>
      </c>
      <c r="D115" s="15">
        <v>0</v>
      </c>
      <c r="E115" s="16">
        <f t="shared" si="3"/>
        <v>0</v>
      </c>
      <c r="H115" t="s">
        <v>89</v>
      </c>
    </row>
    <row r="116" spans="1:8" ht="63.75">
      <c r="A116" t="str">
        <f>MID(B:B,1,9)</f>
        <v>AGS100051</v>
      </c>
      <c r="B116" s="13" t="s">
        <v>20</v>
      </c>
      <c r="C116" s="12">
        <v>2300</v>
      </c>
      <c r="D116" s="15">
        <v>0</v>
      </c>
      <c r="E116" s="16">
        <f t="shared" si="3"/>
        <v>0</v>
      </c>
      <c r="H116" t="s">
        <v>90</v>
      </c>
    </row>
    <row r="117" spans="1:8" ht="63.75">
      <c r="A117" t="str">
        <f>MID(B:B,1,9)</f>
        <v>AGS100055</v>
      </c>
      <c r="B117" s="13" t="s">
        <v>21</v>
      </c>
      <c r="C117" s="12">
        <v>2300</v>
      </c>
      <c r="D117" s="15">
        <v>0</v>
      </c>
      <c r="E117" s="16">
        <f t="shared" si="3"/>
        <v>0</v>
      </c>
      <c r="H117" t="s">
        <v>91</v>
      </c>
    </row>
    <row r="118" spans="1:8" ht="51">
      <c r="A118" t="str">
        <f>MID(B:B,1,9)</f>
        <v>AGS100056</v>
      </c>
      <c r="B118" s="13" t="s">
        <v>22</v>
      </c>
      <c r="C118" s="12">
        <v>9450</v>
      </c>
      <c r="D118" s="15">
        <v>0</v>
      </c>
      <c r="E118" s="16">
        <f t="shared" si="3"/>
        <v>0</v>
      </c>
      <c r="H118" t="s">
        <v>92</v>
      </c>
    </row>
    <row r="119" spans="1:8" ht="51">
      <c r="A119" t="str">
        <f>MID(B:B,1,9)</f>
        <v>AGS100067</v>
      </c>
      <c r="B119" s="13" t="s">
        <v>23</v>
      </c>
      <c r="C119" s="12">
        <v>3525</v>
      </c>
      <c r="D119" s="15">
        <v>0</v>
      </c>
      <c r="E119" s="16">
        <f t="shared" si="3"/>
        <v>0</v>
      </c>
      <c r="H119" t="s">
        <v>93</v>
      </c>
    </row>
    <row r="120" spans="1:8" ht="25.5">
      <c r="A120" t="str">
        <f>MID(B:B,1,9)</f>
        <v>AGS100092</v>
      </c>
      <c r="B120" s="11" t="s">
        <v>48</v>
      </c>
      <c r="C120" s="12">
        <v>2000</v>
      </c>
      <c r="D120" s="15">
        <v>0</v>
      </c>
      <c r="E120" s="16">
        <f t="shared" si="3"/>
        <v>0</v>
      </c>
      <c r="H120" t="s">
        <v>94</v>
      </c>
    </row>
    <row r="121" spans="1:8" ht="51">
      <c r="A121" t="str">
        <f>MID(B:B,1,9)</f>
        <v>AGS100075</v>
      </c>
      <c r="B121" s="13" t="s">
        <v>24</v>
      </c>
      <c r="C121" s="12">
        <v>1050</v>
      </c>
      <c r="D121" s="15">
        <v>0</v>
      </c>
      <c r="E121" s="16">
        <f t="shared" si="3"/>
        <v>0</v>
      </c>
      <c r="H121" t="s">
        <v>95</v>
      </c>
    </row>
    <row r="122" spans="1:8" ht="51">
      <c r="A122" t="str">
        <f>MID(B:B,1,9)</f>
        <v>AGS100073</v>
      </c>
      <c r="B122" s="13" t="s">
        <v>26</v>
      </c>
      <c r="C122" s="12">
        <v>6200</v>
      </c>
      <c r="D122" s="15">
        <v>0</v>
      </c>
      <c r="E122" s="16">
        <f t="shared" si="3"/>
        <v>0</v>
      </c>
      <c r="H122" t="s">
        <v>96</v>
      </c>
    </row>
    <row r="123" spans="1:8" ht="63.75">
      <c r="A123" t="str">
        <f>MID(B:B,1,9)</f>
        <v>AGS100077</v>
      </c>
      <c r="B123" s="13" t="s">
        <v>28</v>
      </c>
      <c r="C123" s="12">
        <v>1900</v>
      </c>
      <c r="D123" s="15">
        <v>0</v>
      </c>
      <c r="E123" s="16">
        <f t="shared" si="3"/>
        <v>0</v>
      </c>
      <c r="H123" t="s">
        <v>97</v>
      </c>
    </row>
    <row r="124" spans="1:8" ht="63.75">
      <c r="A124" t="str">
        <f>MID(B:B,1,9)</f>
        <v>AGS100093</v>
      </c>
      <c r="B124" s="11" t="s">
        <v>49</v>
      </c>
      <c r="C124" s="12">
        <v>400</v>
      </c>
      <c r="D124" s="15">
        <v>0.1</v>
      </c>
      <c r="E124" s="16">
        <f t="shared" si="3"/>
        <v>40</v>
      </c>
      <c r="H124" t="s">
        <v>98</v>
      </c>
    </row>
    <row r="125" spans="1:8" ht="64.5" thickBot="1">
      <c r="A125" t="str">
        <f>MID(B:B,1,9)</f>
        <v>AGS100080</v>
      </c>
      <c r="B125" s="13" t="s">
        <v>29</v>
      </c>
      <c r="C125" s="12">
        <v>4750</v>
      </c>
      <c r="D125" s="15">
        <v>0</v>
      </c>
      <c r="E125" s="16">
        <f t="shared" si="3"/>
        <v>0</v>
      </c>
      <c r="H125" t="s">
        <v>42</v>
      </c>
    </row>
    <row r="126" spans="1:8" ht="15" thickTop="1">
      <c r="B126" s="10"/>
      <c r="C126" s="14">
        <v>117555</v>
      </c>
      <c r="D126" s="15"/>
      <c r="H126" t="s">
        <v>99</v>
      </c>
    </row>
    <row r="127" spans="1:8">
      <c r="A127" t="str">
        <f>MID(B:B,1,9)</f>
        <v>EGRESOS</v>
      </c>
      <c r="B127" s="9" t="s">
        <v>42</v>
      </c>
      <c r="C127" s="10"/>
      <c r="D127" s="15"/>
      <c r="H127" t="s">
        <v>100</v>
      </c>
    </row>
    <row r="128" spans="1:8" ht="51">
      <c r="A128" t="str">
        <f>MID(B:B,1,9)</f>
        <v>AGS100002</v>
      </c>
      <c r="B128" s="13" t="s">
        <v>1</v>
      </c>
      <c r="C128" s="12">
        <v>100</v>
      </c>
      <c r="D128" s="15" t="s">
        <v>69</v>
      </c>
      <c r="E128" t="s">
        <v>70</v>
      </c>
      <c r="H128" t="s">
        <v>71</v>
      </c>
    </row>
    <row r="129" spans="1:8" ht="63.75">
      <c r="A129" t="str">
        <f>MID(B:B,1,9)</f>
        <v>AGS100004</v>
      </c>
      <c r="B129" s="13" t="s">
        <v>2</v>
      </c>
      <c r="C129" s="12">
        <v>150</v>
      </c>
      <c r="D129" s="15">
        <v>7.0000000000000007E-2</v>
      </c>
      <c r="E129" s="16">
        <f>C129*D129</f>
        <v>10.500000000000002</v>
      </c>
      <c r="H129" t="s">
        <v>71</v>
      </c>
    </row>
    <row r="130" spans="1:8" ht="51">
      <c r="A130" t="str">
        <f>MID(B:B,1,9)</f>
        <v>AGS100090</v>
      </c>
      <c r="B130" s="13" t="s">
        <v>43</v>
      </c>
      <c r="C130" s="12">
        <v>200</v>
      </c>
      <c r="D130" s="15">
        <v>0</v>
      </c>
      <c r="E130" s="16">
        <f>C130*D130</f>
        <v>0</v>
      </c>
      <c r="H130" t="s">
        <v>101</v>
      </c>
    </row>
    <row r="131" spans="1:8" ht="51">
      <c r="A131" t="str">
        <f>MID(B:B,1,9)</f>
        <v>AGS100090</v>
      </c>
      <c r="B131" s="13" t="s">
        <v>50</v>
      </c>
      <c r="C131" s="12">
        <v>100</v>
      </c>
      <c r="D131" s="15">
        <v>0</v>
      </c>
      <c r="E131" s="16">
        <f t="shared" ref="E131:E144" si="4">C131*D131</f>
        <v>0</v>
      </c>
      <c r="H131" t="s">
        <v>102</v>
      </c>
    </row>
    <row r="132" spans="1:8" ht="51">
      <c r="A132" t="str">
        <f>MID(B:B,1,9)</f>
        <v>AGS100005</v>
      </c>
      <c r="B132" s="13" t="s">
        <v>6</v>
      </c>
      <c r="C132" s="12">
        <v>725</v>
      </c>
      <c r="D132" s="15">
        <v>0</v>
      </c>
      <c r="E132" s="16">
        <f t="shared" si="4"/>
        <v>0</v>
      </c>
      <c r="H132" t="s">
        <v>102</v>
      </c>
    </row>
    <row r="133" spans="1:8" ht="63.75">
      <c r="A133" t="str">
        <f>MID(B:B,1,9)</f>
        <v>AGS100094</v>
      </c>
      <c r="B133" s="13" t="s">
        <v>51</v>
      </c>
      <c r="C133" s="12">
        <v>100</v>
      </c>
      <c r="D133" s="15">
        <v>0</v>
      </c>
      <c r="E133" s="16">
        <f t="shared" si="4"/>
        <v>0</v>
      </c>
      <c r="H133" t="s">
        <v>72</v>
      </c>
    </row>
    <row r="134" spans="1:8" ht="51">
      <c r="A134" t="str">
        <f>MID(B:B,1,9)</f>
        <v>AGS100094</v>
      </c>
      <c r="B134" s="11" t="s">
        <v>52</v>
      </c>
      <c r="C134" s="12">
        <v>650</v>
      </c>
      <c r="D134" s="15">
        <v>0</v>
      </c>
      <c r="E134" s="16">
        <f t="shared" si="4"/>
        <v>0</v>
      </c>
      <c r="H134" t="s">
        <v>103</v>
      </c>
    </row>
    <row r="135" spans="1:8" ht="63.75">
      <c r="A135" t="str">
        <f>MID(B:B,1,9)</f>
        <v>AGS100010</v>
      </c>
      <c r="B135" s="13" t="s">
        <v>0</v>
      </c>
      <c r="C135" s="12">
        <v>0</v>
      </c>
      <c r="D135" s="15">
        <v>0</v>
      </c>
      <c r="E135" s="16">
        <f t="shared" si="4"/>
        <v>0</v>
      </c>
      <c r="H135" t="s">
        <v>73</v>
      </c>
    </row>
    <row r="136" spans="1:8" ht="76.5">
      <c r="A136" t="str">
        <f>MID(B:B,1,9)</f>
        <v>AGS100013</v>
      </c>
      <c r="B136" s="13" t="s">
        <v>9</v>
      </c>
      <c r="C136" s="12">
        <v>500</v>
      </c>
      <c r="D136" s="15">
        <v>0</v>
      </c>
      <c r="E136" s="16">
        <f t="shared" si="4"/>
        <v>0</v>
      </c>
      <c r="H136" t="s">
        <v>74</v>
      </c>
    </row>
    <row r="137" spans="1:8" ht="63.75">
      <c r="A137" t="str">
        <f>MID(B:B,1,9)</f>
        <v>AGS100091</v>
      </c>
      <c r="B137" s="13" t="s">
        <v>44</v>
      </c>
      <c r="C137" s="12">
        <v>0</v>
      </c>
      <c r="D137" s="15">
        <v>0</v>
      </c>
      <c r="E137" s="16">
        <f t="shared" si="4"/>
        <v>0</v>
      </c>
      <c r="H137" t="s">
        <v>74</v>
      </c>
    </row>
    <row r="138" spans="1:8" ht="63.75">
      <c r="A138" t="str">
        <f>MID(B:B,1,9)</f>
        <v>AGS100015</v>
      </c>
      <c r="B138" s="13" t="s">
        <v>3</v>
      </c>
      <c r="C138" s="12">
        <v>0</v>
      </c>
      <c r="D138" s="15">
        <v>0</v>
      </c>
      <c r="E138" s="16">
        <f t="shared" si="4"/>
        <v>0</v>
      </c>
      <c r="H138" t="s">
        <v>75</v>
      </c>
    </row>
    <row r="139" spans="1:8" ht="51">
      <c r="A139" t="str">
        <f>MID(B:B,1,9)</f>
        <v>AGS100015</v>
      </c>
      <c r="B139" s="13" t="s">
        <v>13</v>
      </c>
      <c r="C139" s="12">
        <v>200</v>
      </c>
      <c r="D139" s="15">
        <v>0</v>
      </c>
      <c r="E139" s="16">
        <f t="shared" si="4"/>
        <v>0</v>
      </c>
      <c r="H139" t="s">
        <v>76</v>
      </c>
    </row>
    <row r="140" spans="1:8" ht="63.75">
      <c r="A140" t="str">
        <f>MID(B:B,1,9)</f>
        <v>AGS100017</v>
      </c>
      <c r="B140" s="13" t="s">
        <v>4</v>
      </c>
      <c r="C140" s="12">
        <v>0</v>
      </c>
      <c r="D140" s="15">
        <v>0</v>
      </c>
      <c r="E140" s="16">
        <f t="shared" si="4"/>
        <v>0</v>
      </c>
      <c r="H140" t="s">
        <v>104</v>
      </c>
    </row>
    <row r="141" spans="1:8" ht="51">
      <c r="A141" t="str">
        <f>MID(B:B,1,9)</f>
        <v>AGS100020</v>
      </c>
      <c r="B141" s="13" t="s">
        <v>5</v>
      </c>
      <c r="C141" s="12">
        <v>0</v>
      </c>
      <c r="D141" s="15">
        <v>0</v>
      </c>
      <c r="E141" s="16">
        <f t="shared" si="4"/>
        <v>0</v>
      </c>
      <c r="H141" t="s">
        <v>104</v>
      </c>
    </row>
    <row r="142" spans="1:8" ht="51">
      <c r="A142" t="str">
        <f>MID(B:B,1,9)</f>
        <v>AGS100021</v>
      </c>
      <c r="B142" s="13" t="s">
        <v>16</v>
      </c>
      <c r="C142" s="12">
        <v>400</v>
      </c>
      <c r="D142" s="15">
        <v>0</v>
      </c>
      <c r="E142" s="16">
        <f t="shared" si="4"/>
        <v>0</v>
      </c>
      <c r="H142" t="s">
        <v>105</v>
      </c>
    </row>
    <row r="143" spans="1:8" ht="38.25">
      <c r="A143" t="str">
        <f>MID(B:B,1,9)</f>
        <v>AGS100021</v>
      </c>
      <c r="B143" s="13" t="s">
        <v>18</v>
      </c>
      <c r="C143" s="12">
        <v>150</v>
      </c>
      <c r="D143" s="15">
        <v>0</v>
      </c>
      <c r="E143" s="16">
        <f t="shared" si="4"/>
        <v>0</v>
      </c>
      <c r="H143" t="s">
        <v>105</v>
      </c>
    </row>
    <row r="144" spans="1:8" ht="63.75">
      <c r="A144" t="str">
        <f>MID(B:B,1,9)</f>
        <v>AGS100095</v>
      </c>
      <c r="B144" s="11" t="s">
        <v>53</v>
      </c>
      <c r="C144" s="12">
        <v>300</v>
      </c>
      <c r="D144" s="15">
        <v>0</v>
      </c>
      <c r="E144" s="16">
        <f t="shared" si="4"/>
        <v>0</v>
      </c>
      <c r="H144" t="s">
        <v>106</v>
      </c>
    </row>
    <row r="145" spans="1:8" ht="63.75">
      <c r="A145" t="str">
        <f>MID(B:B,1,9)</f>
        <v>AGS100095</v>
      </c>
      <c r="B145" s="13" t="s">
        <v>54</v>
      </c>
      <c r="C145" s="12">
        <v>605</v>
      </c>
      <c r="D145" s="15">
        <v>0</v>
      </c>
      <c r="E145" s="16">
        <f>C145*D145</f>
        <v>0</v>
      </c>
      <c r="H145" t="s">
        <v>77</v>
      </c>
    </row>
    <row r="146" spans="1:8" ht="63.75">
      <c r="A146" t="str">
        <f>MID(B:B,1,9)</f>
        <v>AGS100096</v>
      </c>
      <c r="B146" s="11" t="s">
        <v>55</v>
      </c>
      <c r="C146" s="12">
        <v>1</v>
      </c>
      <c r="D146" s="15">
        <v>0</v>
      </c>
      <c r="E146" s="16">
        <f t="shared" ref="E146:E191" si="5">C146*D146</f>
        <v>0</v>
      </c>
      <c r="H146" t="s">
        <v>107</v>
      </c>
    </row>
    <row r="147" spans="1:8" ht="38.25">
      <c r="A147" t="str">
        <f>MID(B:B,1,9)</f>
        <v>AGS100025</v>
      </c>
      <c r="B147" s="13" t="s">
        <v>45</v>
      </c>
      <c r="C147" s="12">
        <v>0</v>
      </c>
      <c r="D147" s="15">
        <v>0</v>
      </c>
      <c r="E147" s="16">
        <f t="shared" si="5"/>
        <v>0</v>
      </c>
      <c r="H147" t="s">
        <v>78</v>
      </c>
    </row>
    <row r="148" spans="1:8" ht="25.5">
      <c r="A148" t="str">
        <f>MID(B:B,1,9)</f>
        <v>AGS100097</v>
      </c>
      <c r="B148" s="11" t="s">
        <v>56</v>
      </c>
      <c r="C148" s="12">
        <v>105573</v>
      </c>
      <c r="D148" s="15">
        <v>0</v>
      </c>
      <c r="E148" s="16">
        <f t="shared" si="5"/>
        <v>0</v>
      </c>
      <c r="H148" t="s">
        <v>108</v>
      </c>
    </row>
    <row r="149" spans="1:8" ht="51">
      <c r="A149" t="str">
        <f>MID(B:B,1,9)</f>
        <v>AGS100027</v>
      </c>
      <c r="B149" s="13" t="s">
        <v>46</v>
      </c>
      <c r="C149" s="12">
        <v>0</v>
      </c>
      <c r="D149" s="15">
        <v>0</v>
      </c>
      <c r="E149" s="16">
        <f t="shared" si="5"/>
        <v>0</v>
      </c>
      <c r="H149" t="s">
        <v>109</v>
      </c>
    </row>
    <row r="150" spans="1:8" ht="76.5">
      <c r="A150" t="str">
        <f>MID(B:B,1,9)</f>
        <v>AGS100028</v>
      </c>
      <c r="B150" s="13" t="s">
        <v>40</v>
      </c>
      <c r="C150" s="12">
        <v>150</v>
      </c>
      <c r="D150" s="15">
        <v>0</v>
      </c>
      <c r="E150" s="16">
        <f t="shared" si="5"/>
        <v>0</v>
      </c>
      <c r="H150" t="s">
        <v>110</v>
      </c>
    </row>
    <row r="151" spans="1:8" ht="63.75">
      <c r="A151" t="str">
        <f>MID(B:B,1,9)</f>
        <v>AGS100029</v>
      </c>
      <c r="B151" s="13" t="s">
        <v>25</v>
      </c>
      <c r="C151" s="12">
        <v>350</v>
      </c>
      <c r="D151" s="15">
        <v>0</v>
      </c>
      <c r="E151" s="16">
        <f t="shared" si="5"/>
        <v>0</v>
      </c>
      <c r="H151" t="s">
        <v>111</v>
      </c>
    </row>
    <row r="152" spans="1:8" ht="63.75">
      <c r="A152" t="str">
        <f>MID(B:B,1,9)</f>
        <v>AGS100030</v>
      </c>
      <c r="B152" s="13" t="s">
        <v>27</v>
      </c>
      <c r="C152" s="12">
        <v>100</v>
      </c>
      <c r="D152" s="15">
        <v>0</v>
      </c>
      <c r="E152" s="16">
        <f t="shared" si="5"/>
        <v>0</v>
      </c>
      <c r="H152" t="s">
        <v>79</v>
      </c>
    </row>
    <row r="153" spans="1:8" ht="63.75">
      <c r="A153" t="str">
        <f>MID(B:B,1,9)</f>
        <v>AGS100098</v>
      </c>
      <c r="B153" s="11" t="s">
        <v>57</v>
      </c>
      <c r="C153" s="12">
        <v>150</v>
      </c>
      <c r="D153" s="15">
        <v>0</v>
      </c>
      <c r="E153" s="16">
        <f t="shared" si="5"/>
        <v>0</v>
      </c>
      <c r="H153" t="s">
        <v>112</v>
      </c>
    </row>
    <row r="154" spans="1:8" ht="63.75">
      <c r="A154" t="str">
        <f>MID(B:B,1,9)</f>
        <v>AGS100031</v>
      </c>
      <c r="B154" s="13" t="s">
        <v>7</v>
      </c>
      <c r="C154" s="12">
        <v>0</v>
      </c>
      <c r="D154" s="15">
        <v>0</v>
      </c>
      <c r="E154" s="16">
        <f t="shared" si="5"/>
        <v>0</v>
      </c>
      <c r="H154" t="s">
        <v>80</v>
      </c>
    </row>
    <row r="155" spans="1:8" ht="63.75">
      <c r="A155" t="str">
        <f>MID(B:B,1,9)</f>
        <v>AGS100032</v>
      </c>
      <c r="B155" s="13" t="s">
        <v>30</v>
      </c>
      <c r="C155" s="12">
        <v>500</v>
      </c>
      <c r="D155" s="15">
        <v>0.1</v>
      </c>
      <c r="E155" s="16">
        <f t="shared" si="5"/>
        <v>50</v>
      </c>
      <c r="H155" t="s">
        <v>113</v>
      </c>
    </row>
    <row r="156" spans="1:8" ht="63.75">
      <c r="A156" t="str">
        <f>MID(B:B,1,9)</f>
        <v>AGS100033</v>
      </c>
      <c r="B156" s="13" t="s">
        <v>8</v>
      </c>
      <c r="C156" s="12">
        <v>0</v>
      </c>
      <c r="D156" s="15">
        <v>0</v>
      </c>
      <c r="E156" s="16">
        <f t="shared" si="5"/>
        <v>0</v>
      </c>
      <c r="H156" t="s">
        <v>113</v>
      </c>
    </row>
    <row r="157" spans="1:8" ht="51">
      <c r="A157" t="str">
        <f>MID(B:B,1,9)</f>
        <v>AGS100036</v>
      </c>
      <c r="B157" s="13" t="s">
        <v>58</v>
      </c>
      <c r="C157" s="12">
        <v>200</v>
      </c>
      <c r="D157" s="15">
        <v>1</v>
      </c>
      <c r="E157" s="16">
        <f t="shared" si="5"/>
        <v>200</v>
      </c>
      <c r="H157" t="s">
        <v>81</v>
      </c>
    </row>
    <row r="158" spans="1:8" ht="51">
      <c r="A158" t="str">
        <f>MID(B:B,1,9)</f>
        <v>AGS100036</v>
      </c>
      <c r="B158" s="13" t="s">
        <v>59</v>
      </c>
      <c r="C158" s="12">
        <v>350</v>
      </c>
      <c r="D158" s="15">
        <v>2</v>
      </c>
      <c r="E158" s="16">
        <f t="shared" si="5"/>
        <v>700</v>
      </c>
      <c r="H158" t="s">
        <v>82</v>
      </c>
    </row>
    <row r="159" spans="1:8" ht="51">
      <c r="A159" t="str">
        <f>MID(B:B,1,9)</f>
        <v>AGS100037</v>
      </c>
      <c r="B159" s="13" t="s">
        <v>10</v>
      </c>
      <c r="C159" s="12">
        <v>0</v>
      </c>
      <c r="D159" s="15">
        <v>3</v>
      </c>
      <c r="E159" s="16">
        <f t="shared" si="5"/>
        <v>0</v>
      </c>
      <c r="H159" t="s">
        <v>83</v>
      </c>
    </row>
    <row r="160" spans="1:8" ht="63.75">
      <c r="A160" t="str">
        <f>MID(B:B,1,9)</f>
        <v>AGS100041</v>
      </c>
      <c r="B160" s="13" t="s">
        <v>11</v>
      </c>
      <c r="C160" s="12">
        <v>0</v>
      </c>
      <c r="D160" s="15">
        <v>4</v>
      </c>
      <c r="E160" s="16">
        <f t="shared" si="5"/>
        <v>0</v>
      </c>
      <c r="H160" t="s">
        <v>114</v>
      </c>
    </row>
    <row r="161" spans="1:8" ht="63.75">
      <c r="A161" t="str">
        <f>MID(B:B,1,9)</f>
        <v>AGS100042</v>
      </c>
      <c r="B161" s="13" t="s">
        <v>12</v>
      </c>
      <c r="C161" s="12">
        <v>0</v>
      </c>
      <c r="D161" s="15">
        <v>5</v>
      </c>
      <c r="E161" s="16">
        <f t="shared" si="5"/>
        <v>0</v>
      </c>
      <c r="H161" t="s">
        <v>85</v>
      </c>
    </row>
    <row r="162" spans="1:8" ht="51">
      <c r="A162" t="str">
        <f>MID(B:B,1,9)</f>
        <v>AGS100034</v>
      </c>
      <c r="B162" s="13" t="s">
        <v>60</v>
      </c>
      <c r="C162" s="12">
        <v>0</v>
      </c>
      <c r="D162" s="15">
        <v>6</v>
      </c>
      <c r="E162" s="16">
        <f t="shared" si="5"/>
        <v>0</v>
      </c>
      <c r="H162" t="s">
        <v>86</v>
      </c>
    </row>
    <row r="163" spans="1:8" ht="63.75">
      <c r="A163" t="str">
        <f>MID(B:B,1,9)</f>
        <v>AGS100044</v>
      </c>
      <c r="B163" s="13" t="s">
        <v>14</v>
      </c>
      <c r="C163" s="12">
        <v>0</v>
      </c>
      <c r="D163" s="15">
        <v>7</v>
      </c>
      <c r="E163" s="16">
        <f t="shared" si="5"/>
        <v>0</v>
      </c>
      <c r="H163" t="s">
        <v>87</v>
      </c>
    </row>
    <row r="164" spans="1:8" ht="63.75">
      <c r="A164" t="str">
        <f>MID(B:B,1,9)</f>
        <v>AGS100045</v>
      </c>
      <c r="B164" s="13" t="s">
        <v>15</v>
      </c>
      <c r="C164" s="12">
        <v>0</v>
      </c>
      <c r="D164" s="15">
        <v>8</v>
      </c>
      <c r="E164" s="16">
        <f t="shared" si="5"/>
        <v>0</v>
      </c>
      <c r="H164" t="s">
        <v>115</v>
      </c>
    </row>
    <row r="165" spans="1:8" ht="63.75">
      <c r="A165" t="str">
        <f>MID(B:B,1,9)</f>
        <v>AGS100047</v>
      </c>
      <c r="B165" s="13" t="s">
        <v>17</v>
      </c>
      <c r="C165" s="12">
        <v>0</v>
      </c>
      <c r="D165" s="15">
        <v>9</v>
      </c>
      <c r="E165" s="16">
        <f t="shared" si="5"/>
        <v>0</v>
      </c>
      <c r="H165" t="s">
        <v>88</v>
      </c>
    </row>
    <row r="166" spans="1:8" ht="63.75">
      <c r="A166" t="str">
        <f>MID(B:B,1,9)</f>
        <v>AGS100046</v>
      </c>
      <c r="B166" s="13" t="s">
        <v>31</v>
      </c>
      <c r="C166" s="12">
        <v>400</v>
      </c>
      <c r="D166" s="15">
        <v>10</v>
      </c>
      <c r="E166" s="16">
        <f t="shared" si="5"/>
        <v>4000</v>
      </c>
      <c r="H166" t="s">
        <v>116</v>
      </c>
    </row>
    <row r="167" spans="1:8" ht="51">
      <c r="A167" t="str">
        <f>MID(B:B,1,9)</f>
        <v>AGS100049</v>
      </c>
      <c r="B167" s="13" t="s">
        <v>19</v>
      </c>
      <c r="C167" s="12">
        <v>0</v>
      </c>
      <c r="D167" s="15">
        <v>11</v>
      </c>
      <c r="E167" s="16">
        <f t="shared" si="5"/>
        <v>0</v>
      </c>
      <c r="H167" t="s">
        <v>89</v>
      </c>
    </row>
    <row r="168" spans="1:8" ht="51">
      <c r="A168" t="str">
        <f>MID(B:B,1,9)</f>
        <v>AGS100099</v>
      </c>
      <c r="B168" s="11" t="s">
        <v>61</v>
      </c>
      <c r="C168" s="12">
        <v>700</v>
      </c>
      <c r="D168" s="15">
        <v>12</v>
      </c>
      <c r="E168" s="16">
        <f t="shared" si="5"/>
        <v>8400</v>
      </c>
      <c r="H168" t="s">
        <v>117</v>
      </c>
    </row>
    <row r="169" spans="1:8" ht="63.75">
      <c r="A169" t="str">
        <f>MID(B:B,1,9)</f>
        <v>AGS100051</v>
      </c>
      <c r="B169" s="13" t="s">
        <v>20</v>
      </c>
      <c r="C169" s="12">
        <v>0</v>
      </c>
      <c r="D169" s="15">
        <v>13</v>
      </c>
      <c r="E169" s="16">
        <f t="shared" si="5"/>
        <v>0</v>
      </c>
      <c r="H169" t="s">
        <v>118</v>
      </c>
    </row>
    <row r="170" spans="1:8" ht="51">
      <c r="A170" t="str">
        <f>MID(B:B,1,9)</f>
        <v>AGS1000JU</v>
      </c>
      <c r="B170" s="13" t="s">
        <v>32</v>
      </c>
      <c r="C170" s="12">
        <v>300</v>
      </c>
      <c r="D170" s="15">
        <v>14</v>
      </c>
      <c r="E170" s="16">
        <f t="shared" si="5"/>
        <v>4200</v>
      </c>
      <c r="H170" t="s">
        <v>118</v>
      </c>
    </row>
    <row r="171" spans="1:8" ht="63.75">
      <c r="A171" t="str">
        <f>MID(B:B,1,9)</f>
        <v>AGS100053</v>
      </c>
      <c r="B171" s="13" t="s">
        <v>33</v>
      </c>
      <c r="C171" s="12">
        <v>600</v>
      </c>
      <c r="D171" s="15">
        <v>15</v>
      </c>
      <c r="E171" s="16">
        <f t="shared" si="5"/>
        <v>9000</v>
      </c>
      <c r="H171" t="s">
        <v>119</v>
      </c>
    </row>
    <row r="172" spans="1:8" ht="63.75">
      <c r="A172" t="str">
        <f>MID(B:B,1,9)</f>
        <v>AGS100053</v>
      </c>
      <c r="B172" s="13" t="s">
        <v>34</v>
      </c>
      <c r="C172" s="12">
        <v>150</v>
      </c>
      <c r="D172" s="15">
        <v>16</v>
      </c>
      <c r="E172" s="16">
        <f t="shared" si="5"/>
        <v>2400</v>
      </c>
      <c r="H172" t="s">
        <v>90</v>
      </c>
    </row>
    <row r="173" spans="1:8" ht="51">
      <c r="A173" t="str">
        <f>MID(B:B,1,9)</f>
        <v>AGS100100</v>
      </c>
      <c r="B173" s="11" t="s">
        <v>62</v>
      </c>
      <c r="C173" s="12">
        <v>1</v>
      </c>
      <c r="D173" s="15">
        <v>17</v>
      </c>
      <c r="E173" s="16">
        <f t="shared" si="5"/>
        <v>17</v>
      </c>
      <c r="H173" t="s">
        <v>91</v>
      </c>
    </row>
    <row r="174" spans="1:8" ht="63.75">
      <c r="A174" t="str">
        <f>MID(B:B,1,9)</f>
        <v>AGS100055</v>
      </c>
      <c r="B174" s="13" t="s">
        <v>21</v>
      </c>
      <c r="C174" s="12">
        <v>0</v>
      </c>
      <c r="D174" s="15">
        <v>18</v>
      </c>
      <c r="E174" s="16">
        <f t="shared" si="5"/>
        <v>0</v>
      </c>
      <c r="H174" t="s">
        <v>120</v>
      </c>
    </row>
    <row r="175" spans="1:8" ht="51">
      <c r="A175" t="str">
        <f>MID(B:B,1,9)</f>
        <v>AGS100056</v>
      </c>
      <c r="B175" s="13" t="s">
        <v>22</v>
      </c>
      <c r="C175" s="12">
        <v>0</v>
      </c>
      <c r="D175" s="15">
        <v>19</v>
      </c>
      <c r="E175" s="16">
        <f t="shared" si="5"/>
        <v>0</v>
      </c>
      <c r="H175" t="s">
        <v>121</v>
      </c>
    </row>
    <row r="176" spans="1:8" ht="63.75">
      <c r="A176" t="str">
        <f>MID(B:B,1,9)</f>
        <v>AGS100057</v>
      </c>
      <c r="B176" s="13" t="s">
        <v>35</v>
      </c>
      <c r="C176" s="12">
        <v>1050</v>
      </c>
      <c r="D176" s="15">
        <v>20</v>
      </c>
      <c r="E176" s="16">
        <f t="shared" si="5"/>
        <v>21000</v>
      </c>
      <c r="H176" t="s">
        <v>122</v>
      </c>
    </row>
    <row r="177" spans="1:8" ht="63.75">
      <c r="A177" t="str">
        <f>MID(B:B,1,9)</f>
        <v>AGS100059</v>
      </c>
      <c r="B177" s="13" t="s">
        <v>36</v>
      </c>
      <c r="C177" s="12">
        <v>400</v>
      </c>
      <c r="D177" s="15">
        <v>21</v>
      </c>
      <c r="E177" s="16">
        <f t="shared" si="5"/>
        <v>8400</v>
      </c>
      <c r="H177" t="s">
        <v>92</v>
      </c>
    </row>
    <row r="178" spans="1:8" ht="63.75">
      <c r="A178" t="str">
        <f>MID(B:B,1,9)</f>
        <v>AGS100060</v>
      </c>
      <c r="B178" s="13" t="s">
        <v>37</v>
      </c>
      <c r="C178" s="12">
        <v>200</v>
      </c>
      <c r="D178" s="15">
        <v>22</v>
      </c>
      <c r="E178" s="16">
        <f t="shared" si="5"/>
        <v>4400</v>
      </c>
      <c r="H178" t="s">
        <v>123</v>
      </c>
    </row>
    <row r="179" spans="1:8" ht="51">
      <c r="A179" t="str">
        <f>MID(B:B,1,9)</f>
        <v>AGS100067</v>
      </c>
      <c r="B179" s="13" t="s">
        <v>23</v>
      </c>
      <c r="C179" s="12">
        <v>0</v>
      </c>
      <c r="D179" s="15">
        <v>23</v>
      </c>
      <c r="E179" s="16">
        <f t="shared" si="5"/>
        <v>0</v>
      </c>
      <c r="H179" t="s">
        <v>93</v>
      </c>
    </row>
    <row r="180" spans="1:8" ht="51">
      <c r="A180" t="str">
        <f>MID(B:B,1,9)</f>
        <v>AGS100068</v>
      </c>
      <c r="B180" s="13" t="s">
        <v>63</v>
      </c>
      <c r="C180" s="12">
        <v>200</v>
      </c>
      <c r="D180" s="15">
        <v>24</v>
      </c>
      <c r="E180" s="16">
        <f t="shared" si="5"/>
        <v>4800</v>
      </c>
      <c r="H180" t="s">
        <v>124</v>
      </c>
    </row>
    <row r="181" spans="1:8" ht="25.5">
      <c r="A181" t="str">
        <f>MID(B:B,1,9)</f>
        <v>AGS100092</v>
      </c>
      <c r="B181" s="13" t="s">
        <v>48</v>
      </c>
      <c r="C181" s="12">
        <v>0</v>
      </c>
      <c r="D181" s="15">
        <v>25</v>
      </c>
      <c r="E181" s="16">
        <f t="shared" si="5"/>
        <v>0</v>
      </c>
      <c r="H181" t="s">
        <v>125</v>
      </c>
    </row>
    <row r="182" spans="1:8" ht="51">
      <c r="A182" t="str">
        <f>MID(B:B,1,9)</f>
        <v>AGS100071</v>
      </c>
      <c r="B182" s="13" t="s">
        <v>38</v>
      </c>
      <c r="C182" s="12">
        <v>100</v>
      </c>
      <c r="D182" s="15">
        <v>26</v>
      </c>
      <c r="E182" s="16">
        <f t="shared" si="5"/>
        <v>2600</v>
      </c>
      <c r="H182" t="s">
        <v>126</v>
      </c>
    </row>
    <row r="183" spans="1:8" ht="63.75">
      <c r="A183" t="str">
        <f>MID(B:B,1,9)</f>
        <v>AGS100074</v>
      </c>
      <c r="B183" s="13" t="s">
        <v>39</v>
      </c>
      <c r="C183" s="12">
        <v>350</v>
      </c>
      <c r="D183" s="15">
        <v>27</v>
      </c>
      <c r="E183" s="16">
        <f t="shared" si="5"/>
        <v>9450</v>
      </c>
      <c r="H183" t="s">
        <v>94</v>
      </c>
    </row>
    <row r="184" spans="1:8" ht="51">
      <c r="A184" t="str">
        <f>MID(B:B,1,9)</f>
        <v>AGS100101</v>
      </c>
      <c r="B184" s="11" t="s">
        <v>64</v>
      </c>
      <c r="C184" s="12">
        <v>150</v>
      </c>
      <c r="D184" s="15">
        <v>28</v>
      </c>
      <c r="E184" s="16">
        <f t="shared" si="5"/>
        <v>4200</v>
      </c>
      <c r="H184" t="s">
        <v>95</v>
      </c>
    </row>
    <row r="185" spans="1:8" ht="51">
      <c r="A185" t="str">
        <f>MID(B:B,1,9)</f>
        <v>AGS100075</v>
      </c>
      <c r="B185" s="13" t="s">
        <v>24</v>
      </c>
      <c r="C185" s="12">
        <v>0</v>
      </c>
      <c r="D185" s="15">
        <v>29</v>
      </c>
      <c r="E185" s="16">
        <f t="shared" si="5"/>
        <v>0</v>
      </c>
      <c r="H185" t="s">
        <v>127</v>
      </c>
    </row>
    <row r="186" spans="1:8" ht="51">
      <c r="A186" t="str">
        <f>MID(B:B,1,9)</f>
        <v>AGS100073</v>
      </c>
      <c r="B186" s="13" t="s">
        <v>26</v>
      </c>
      <c r="C186" s="12">
        <v>0</v>
      </c>
      <c r="D186" s="15">
        <v>30</v>
      </c>
      <c r="E186" s="16">
        <f t="shared" si="5"/>
        <v>0</v>
      </c>
      <c r="H186" t="s">
        <v>96</v>
      </c>
    </row>
    <row r="187" spans="1:8" ht="51">
      <c r="A187" t="str">
        <f>MID(B:B,1,9)</f>
        <v>AGS100102</v>
      </c>
      <c r="B187" s="11" t="s">
        <v>65</v>
      </c>
      <c r="C187" s="12">
        <v>1200</v>
      </c>
      <c r="D187" s="15">
        <v>31</v>
      </c>
      <c r="E187" s="16">
        <f t="shared" si="5"/>
        <v>37200</v>
      </c>
      <c r="H187" t="s">
        <v>97</v>
      </c>
    </row>
    <row r="188" spans="1:8" ht="63.75">
      <c r="A188" t="str">
        <f>MID(B:B,1,9)</f>
        <v>AGS100077</v>
      </c>
      <c r="B188" s="13" t="s">
        <v>28</v>
      </c>
      <c r="C188" s="12">
        <v>0</v>
      </c>
      <c r="D188" s="15">
        <v>32</v>
      </c>
      <c r="E188" s="16">
        <f t="shared" si="5"/>
        <v>0</v>
      </c>
      <c r="H188" t="s">
        <v>98</v>
      </c>
    </row>
    <row r="189" spans="1:8" ht="63.75">
      <c r="A189" t="str">
        <f>MID(B:B,1,9)</f>
        <v>AGS100093</v>
      </c>
      <c r="B189" s="11" t="s">
        <v>49</v>
      </c>
      <c r="C189" s="12">
        <v>0</v>
      </c>
      <c r="D189" s="15">
        <v>33</v>
      </c>
      <c r="E189" s="16">
        <f t="shared" si="5"/>
        <v>0</v>
      </c>
      <c r="H189" t="s">
        <v>128</v>
      </c>
    </row>
    <row r="190" spans="1:8" ht="63.75">
      <c r="A190" t="str">
        <f>MID(B:B,1,9)</f>
        <v>AGS100080</v>
      </c>
      <c r="B190" s="13" t="s">
        <v>29</v>
      </c>
      <c r="C190" s="12">
        <v>0</v>
      </c>
      <c r="D190" s="15">
        <v>34</v>
      </c>
      <c r="E190" s="16">
        <f t="shared" si="5"/>
        <v>0</v>
      </c>
      <c r="H190" t="s">
        <v>41</v>
      </c>
    </row>
    <row r="191" spans="1:8" ht="51">
      <c r="A191" t="str">
        <f>MID(B:B,1,9)</f>
        <v>AGS100103</v>
      </c>
      <c r="B191" s="11" t="s">
        <v>66</v>
      </c>
      <c r="C191" s="12">
        <v>200</v>
      </c>
      <c r="D191" s="15">
        <v>35</v>
      </c>
      <c r="E191" s="16">
        <f t="shared" si="5"/>
        <v>7000</v>
      </c>
      <c r="H191" t="s">
        <v>71</v>
      </c>
    </row>
    <row r="192" spans="1:8">
      <c r="A192" t="str">
        <f>MID(B:B,1,9)</f>
        <v>INGRESOS</v>
      </c>
      <c r="B192" s="9" t="s">
        <v>41</v>
      </c>
      <c r="C192" s="10"/>
      <c r="D192" s="15" t="s">
        <v>69</v>
      </c>
      <c r="E192" t="s">
        <v>70</v>
      </c>
      <c r="H192" t="s">
        <v>72</v>
      </c>
    </row>
    <row r="193" spans="1:8" ht="51">
      <c r="A193" t="str">
        <f>MID(B:B,1,9)</f>
        <v>AGS100090</v>
      </c>
      <c r="B193" s="11" t="s">
        <v>43</v>
      </c>
      <c r="C193" s="12">
        <v>200</v>
      </c>
      <c r="D193" s="15">
        <v>7.0000000000000007E-2</v>
      </c>
      <c r="E193" s="16">
        <f>C193*D193</f>
        <v>14.000000000000002</v>
      </c>
      <c r="H193" t="s">
        <v>73</v>
      </c>
    </row>
    <row r="194" spans="1:8" ht="63.75">
      <c r="A194" t="str">
        <f>MID(B:B,1,9)</f>
        <v>AGS100010</v>
      </c>
      <c r="B194" s="13" t="s">
        <v>0</v>
      </c>
      <c r="C194" s="12">
        <v>4350</v>
      </c>
      <c r="D194" s="15">
        <v>0</v>
      </c>
      <c r="E194" s="16">
        <f>C194*D194</f>
        <v>0</v>
      </c>
      <c r="H194" t="s">
        <v>74</v>
      </c>
    </row>
    <row r="195" spans="1:8" ht="63.75">
      <c r="A195" t="str">
        <f>MID(B:B,1,9)</f>
        <v>AGS100091</v>
      </c>
      <c r="B195" s="11" t="s">
        <v>44</v>
      </c>
      <c r="C195" s="12">
        <v>1200</v>
      </c>
      <c r="D195" s="15">
        <v>0</v>
      </c>
      <c r="E195" s="16">
        <f t="shared" ref="E195:E220" si="6">C195*D195</f>
        <v>0</v>
      </c>
      <c r="H195" t="s">
        <v>75</v>
      </c>
    </row>
    <row r="196" spans="1:8" ht="63.75">
      <c r="A196" t="str">
        <f>MID(B:B,1,9)</f>
        <v>AGS100015</v>
      </c>
      <c r="B196" s="13" t="s">
        <v>3</v>
      </c>
      <c r="C196" s="12">
        <v>4950</v>
      </c>
      <c r="D196" s="15">
        <v>0</v>
      </c>
      <c r="E196" s="16">
        <f t="shared" si="6"/>
        <v>0</v>
      </c>
      <c r="H196" t="s">
        <v>76</v>
      </c>
    </row>
    <row r="197" spans="1:8" ht="63.75">
      <c r="A197" t="str">
        <f>MID(B:B,1,9)</f>
        <v>AGS100017</v>
      </c>
      <c r="B197" s="13" t="s">
        <v>4</v>
      </c>
      <c r="C197" s="12">
        <v>5750</v>
      </c>
      <c r="D197" s="15">
        <v>0</v>
      </c>
      <c r="E197" s="16">
        <f t="shared" si="6"/>
        <v>0</v>
      </c>
      <c r="H197" t="s">
        <v>77</v>
      </c>
    </row>
    <row r="198" spans="1:8" ht="51">
      <c r="A198" t="str">
        <f>MID(B:B,1,9)</f>
        <v>AGS100020</v>
      </c>
      <c r="B198" s="13" t="s">
        <v>5</v>
      </c>
      <c r="C198" s="12">
        <v>10625</v>
      </c>
      <c r="D198" s="15">
        <v>0</v>
      </c>
      <c r="E198" s="16">
        <f t="shared" si="6"/>
        <v>0</v>
      </c>
      <c r="H198" t="s">
        <v>78</v>
      </c>
    </row>
    <row r="199" spans="1:8" ht="38.25">
      <c r="A199" t="str">
        <f>MID(B:B,1,9)</f>
        <v>AGS100025</v>
      </c>
      <c r="B199" s="13" t="s">
        <v>45</v>
      </c>
      <c r="C199" s="12">
        <v>3900</v>
      </c>
      <c r="D199" s="15">
        <v>0</v>
      </c>
      <c r="E199" s="16">
        <f t="shared" si="6"/>
        <v>0</v>
      </c>
      <c r="H199" t="s">
        <v>79</v>
      </c>
    </row>
    <row r="200" spans="1:8" ht="51">
      <c r="A200" t="str">
        <f>MID(B:B,1,9)</f>
        <v>AGS100027</v>
      </c>
      <c r="B200" s="13" t="s">
        <v>46</v>
      </c>
      <c r="C200" s="12">
        <v>4900</v>
      </c>
      <c r="D200" s="15">
        <v>0</v>
      </c>
      <c r="E200" s="16">
        <f t="shared" si="6"/>
        <v>0</v>
      </c>
      <c r="H200" t="s">
        <v>80</v>
      </c>
    </row>
    <row r="201" spans="1:8" ht="63.75">
      <c r="A201" t="str">
        <f>MID(B:B,1,9)</f>
        <v>AGS100031</v>
      </c>
      <c r="B201" s="13" t="s">
        <v>7</v>
      </c>
      <c r="C201" s="12">
        <v>6525</v>
      </c>
      <c r="D201" s="15">
        <v>0</v>
      </c>
      <c r="E201" s="16">
        <f t="shared" si="6"/>
        <v>0</v>
      </c>
      <c r="H201" t="s">
        <v>81</v>
      </c>
    </row>
    <row r="202" spans="1:8" ht="63.75">
      <c r="A202" t="str">
        <f>MID(B:B,1,9)</f>
        <v>AGS100033</v>
      </c>
      <c r="B202" s="13" t="s">
        <v>8</v>
      </c>
      <c r="C202" s="12">
        <v>3850</v>
      </c>
      <c r="D202" s="15">
        <v>0</v>
      </c>
      <c r="E202" s="16">
        <f t="shared" si="6"/>
        <v>0</v>
      </c>
      <c r="H202" t="s">
        <v>82</v>
      </c>
    </row>
    <row r="203" spans="1:8" ht="51">
      <c r="A203" t="str">
        <f>MID(B:B,1,9)</f>
        <v>AGS100037</v>
      </c>
      <c r="B203" s="13" t="s">
        <v>10</v>
      </c>
      <c r="C203" s="12">
        <v>7600</v>
      </c>
      <c r="D203" s="15">
        <v>0</v>
      </c>
      <c r="E203" s="16">
        <f t="shared" si="6"/>
        <v>0</v>
      </c>
      <c r="H203" t="s">
        <v>83</v>
      </c>
    </row>
    <row r="204" spans="1:8" ht="63.75">
      <c r="A204" t="str">
        <f>MID(B:B,1,9)</f>
        <v>AGS100041</v>
      </c>
      <c r="B204" s="13" t="s">
        <v>11</v>
      </c>
      <c r="C204" s="12">
        <v>5250</v>
      </c>
      <c r="D204" s="15">
        <v>0</v>
      </c>
      <c r="E204" s="16">
        <f t="shared" si="6"/>
        <v>0</v>
      </c>
      <c r="H204" t="s">
        <v>84</v>
      </c>
    </row>
    <row r="205" spans="1:8" ht="63.75">
      <c r="A205" t="str">
        <f>MID(B:B,1,9)</f>
        <v>AGS100042</v>
      </c>
      <c r="B205" s="13" t="s">
        <v>12</v>
      </c>
      <c r="C205" s="12">
        <v>3400</v>
      </c>
      <c r="D205" s="15">
        <v>0</v>
      </c>
      <c r="E205" s="16">
        <f t="shared" si="6"/>
        <v>0</v>
      </c>
      <c r="H205" t="s">
        <v>85</v>
      </c>
    </row>
    <row r="206" spans="1:8" ht="51">
      <c r="A206" t="str">
        <f>MID(B:B,1,9)</f>
        <v>AGS100043</v>
      </c>
      <c r="B206" s="13" t="s">
        <v>47</v>
      </c>
      <c r="C206" s="12">
        <v>6750</v>
      </c>
      <c r="D206" s="15">
        <v>0</v>
      </c>
      <c r="E206" s="16">
        <f t="shared" si="6"/>
        <v>0</v>
      </c>
      <c r="H206" t="s">
        <v>86</v>
      </c>
    </row>
    <row r="207" spans="1:8" ht="63.75">
      <c r="A207" t="str">
        <f>MID(B:B,1,9)</f>
        <v>AGS100044</v>
      </c>
      <c r="B207" s="13" t="s">
        <v>14</v>
      </c>
      <c r="C207" s="12">
        <v>6130</v>
      </c>
      <c r="D207" s="15">
        <v>0</v>
      </c>
      <c r="E207" s="16">
        <f t="shared" si="6"/>
        <v>0</v>
      </c>
      <c r="H207" t="s">
        <v>87</v>
      </c>
    </row>
    <row r="208" spans="1:8" ht="63.75">
      <c r="A208" t="str">
        <f>MID(B:B,1,9)</f>
        <v>AGS100045</v>
      </c>
      <c r="B208" s="13" t="s">
        <v>15</v>
      </c>
      <c r="C208" s="12">
        <v>1175</v>
      </c>
      <c r="D208" s="15">
        <v>0</v>
      </c>
      <c r="E208" s="16">
        <f t="shared" si="6"/>
        <v>0</v>
      </c>
      <c r="H208" t="s">
        <v>88</v>
      </c>
    </row>
    <row r="209" spans="1:8" ht="63.75">
      <c r="A209" t="str">
        <f>MID(B:B,1,9)</f>
        <v>AGS100047</v>
      </c>
      <c r="B209" s="13" t="s">
        <v>17</v>
      </c>
      <c r="C209" s="12">
        <v>950</v>
      </c>
      <c r="D209" s="15">
        <v>0</v>
      </c>
      <c r="E209" s="16">
        <f>C209*D209</f>
        <v>0</v>
      </c>
      <c r="H209" t="s">
        <v>89</v>
      </c>
    </row>
    <row r="210" spans="1:8" ht="51">
      <c r="A210" t="str">
        <f>MID(B:B,1,9)</f>
        <v>AGS100049</v>
      </c>
      <c r="B210" s="13" t="s">
        <v>19</v>
      </c>
      <c r="C210" s="12">
        <v>6175</v>
      </c>
      <c r="D210" s="15">
        <v>0</v>
      </c>
      <c r="E210" s="16">
        <f t="shared" si="6"/>
        <v>0</v>
      </c>
      <c r="H210" t="s">
        <v>90</v>
      </c>
    </row>
    <row r="211" spans="1:8" ht="63.75">
      <c r="A211" t="str">
        <f>MID(B:B,1,9)</f>
        <v>AGS100051</v>
      </c>
      <c r="B211" s="13" t="s">
        <v>20</v>
      </c>
      <c r="C211" s="12">
        <v>2300</v>
      </c>
      <c r="D211" s="15">
        <v>0</v>
      </c>
      <c r="E211" s="16">
        <f t="shared" si="6"/>
        <v>0</v>
      </c>
      <c r="H211" t="s">
        <v>91</v>
      </c>
    </row>
    <row r="212" spans="1:8" ht="63.75">
      <c r="A212" t="str">
        <f>MID(B:B,1,9)</f>
        <v>AGS100055</v>
      </c>
      <c r="B212" s="13" t="s">
        <v>21</v>
      </c>
      <c r="C212" s="12">
        <v>2300</v>
      </c>
      <c r="D212" s="15">
        <v>0</v>
      </c>
      <c r="E212" s="16">
        <f t="shared" si="6"/>
        <v>0</v>
      </c>
      <c r="H212" t="s">
        <v>92</v>
      </c>
    </row>
    <row r="213" spans="1:8" ht="51">
      <c r="A213" t="str">
        <f>MID(B:B,1,9)</f>
        <v>AGS100056</v>
      </c>
      <c r="B213" s="13" t="s">
        <v>22</v>
      </c>
      <c r="C213" s="12">
        <v>9450</v>
      </c>
      <c r="D213" s="15">
        <v>0</v>
      </c>
      <c r="E213" s="16">
        <f t="shared" si="6"/>
        <v>0</v>
      </c>
      <c r="H213" t="s">
        <v>93</v>
      </c>
    </row>
    <row r="214" spans="1:8" ht="51">
      <c r="A214" t="str">
        <f>MID(B:B,1,9)</f>
        <v>AGS100067</v>
      </c>
      <c r="B214" s="13" t="s">
        <v>23</v>
      </c>
      <c r="C214" s="12">
        <v>3525</v>
      </c>
      <c r="D214" s="15">
        <v>0</v>
      </c>
      <c r="E214" s="16">
        <f t="shared" si="6"/>
        <v>0</v>
      </c>
      <c r="H214" t="s">
        <v>94</v>
      </c>
    </row>
    <row r="215" spans="1:8" ht="25.5">
      <c r="A215" t="str">
        <f>MID(B:B,1,9)</f>
        <v>AGS100092</v>
      </c>
      <c r="B215" s="11" t="s">
        <v>48</v>
      </c>
      <c r="C215" s="12">
        <v>2000</v>
      </c>
      <c r="D215" s="15">
        <v>0</v>
      </c>
      <c r="E215" s="16">
        <f t="shared" si="6"/>
        <v>0</v>
      </c>
      <c r="H215" t="s">
        <v>95</v>
      </c>
    </row>
    <row r="216" spans="1:8" ht="51">
      <c r="A216" t="str">
        <f>MID(B:B,1,9)</f>
        <v>AGS100075</v>
      </c>
      <c r="B216" s="13" t="s">
        <v>24</v>
      </c>
      <c r="C216" s="12">
        <v>1050</v>
      </c>
      <c r="D216" s="15">
        <v>0</v>
      </c>
      <c r="E216" s="16">
        <f t="shared" si="6"/>
        <v>0</v>
      </c>
      <c r="H216" t="s">
        <v>96</v>
      </c>
    </row>
    <row r="217" spans="1:8" ht="51">
      <c r="A217" t="str">
        <f>MID(B:B,1,9)</f>
        <v>AGS100073</v>
      </c>
      <c r="B217" s="13" t="s">
        <v>26</v>
      </c>
      <c r="C217" s="12">
        <v>6200</v>
      </c>
      <c r="D217" s="15">
        <v>0</v>
      </c>
      <c r="E217" s="16">
        <f t="shared" si="6"/>
        <v>0</v>
      </c>
      <c r="H217" t="s">
        <v>97</v>
      </c>
    </row>
    <row r="218" spans="1:8" ht="63.75">
      <c r="A218" t="str">
        <f>MID(B:B,1,9)</f>
        <v>AGS100077</v>
      </c>
      <c r="B218" s="13" t="s">
        <v>28</v>
      </c>
      <c r="C218" s="12">
        <v>1900</v>
      </c>
      <c r="D218" s="15">
        <v>0</v>
      </c>
      <c r="E218" s="16">
        <f t="shared" si="6"/>
        <v>0</v>
      </c>
      <c r="H218" t="s">
        <v>98</v>
      </c>
    </row>
    <row r="219" spans="1:8" ht="63.75">
      <c r="A219" t="str">
        <f>MID(B:B,1,9)</f>
        <v>AGS100093</v>
      </c>
      <c r="B219" s="11" t="s">
        <v>49</v>
      </c>
      <c r="C219" s="12">
        <v>400</v>
      </c>
      <c r="D219" s="15">
        <v>0.1</v>
      </c>
      <c r="E219" s="16">
        <f t="shared" si="6"/>
        <v>40</v>
      </c>
      <c r="H219" t="s">
        <v>42</v>
      </c>
    </row>
    <row r="220" spans="1:8" ht="64.5" thickBot="1">
      <c r="A220" t="str">
        <f>MID(B:B,1,9)</f>
        <v>AGS100080</v>
      </c>
      <c r="B220" s="13" t="s">
        <v>29</v>
      </c>
      <c r="C220" s="12">
        <v>4750</v>
      </c>
      <c r="D220" s="15">
        <v>0</v>
      </c>
      <c r="E220" s="16">
        <f t="shared" si="6"/>
        <v>0</v>
      </c>
      <c r="H220" t="s">
        <v>99</v>
      </c>
    </row>
    <row r="221" spans="1:8" ht="15" thickTop="1">
      <c r="B221" s="10"/>
      <c r="C221" s="14">
        <v>117555</v>
      </c>
      <c r="D221" s="15"/>
      <c r="H221" t="s">
        <v>100</v>
      </c>
    </row>
    <row r="222" spans="1:8">
      <c r="A222" t="str">
        <f>MID(B:B,1,9)</f>
        <v>EGRESOS</v>
      </c>
      <c r="B222" s="9" t="s">
        <v>42</v>
      </c>
      <c r="C222" s="10"/>
      <c r="D222" s="15"/>
      <c r="H222" t="s">
        <v>71</v>
      </c>
    </row>
    <row r="223" spans="1:8" ht="51">
      <c r="A223" t="str">
        <f>MID(B:B,1,9)</f>
        <v>AGS100002</v>
      </c>
      <c r="B223" s="13" t="s">
        <v>1</v>
      </c>
      <c r="C223" s="12">
        <v>100</v>
      </c>
      <c r="D223" s="15" t="s">
        <v>69</v>
      </c>
      <c r="E223" t="s">
        <v>70</v>
      </c>
      <c r="H223" t="s">
        <v>71</v>
      </c>
    </row>
    <row r="224" spans="1:8" ht="63.75">
      <c r="A224" t="str">
        <f>MID(B:B,1,9)</f>
        <v>AGS100004</v>
      </c>
      <c r="B224" s="13" t="s">
        <v>2</v>
      </c>
      <c r="C224" s="12">
        <v>150</v>
      </c>
      <c r="D224" s="15">
        <v>7.0000000000000007E-2</v>
      </c>
      <c r="E224" s="16">
        <f>C224*D224</f>
        <v>10.500000000000002</v>
      </c>
      <c r="H224" t="s">
        <v>101</v>
      </c>
    </row>
    <row r="225" spans="1:8" ht="51">
      <c r="A225" t="str">
        <f>MID(B:B,1,9)</f>
        <v>AGS100090</v>
      </c>
      <c r="B225" s="13" t="s">
        <v>43</v>
      </c>
      <c r="C225" s="12">
        <v>200</v>
      </c>
      <c r="D225" s="15">
        <v>0</v>
      </c>
      <c r="E225" s="16">
        <f>C225*D225</f>
        <v>0</v>
      </c>
      <c r="H225" t="s">
        <v>102</v>
      </c>
    </row>
    <row r="226" spans="1:8" ht="51">
      <c r="A226" t="str">
        <f>MID(B:B,1,9)</f>
        <v>AGS100090</v>
      </c>
      <c r="B226" s="13" t="s">
        <v>50</v>
      </c>
      <c r="C226" s="12">
        <v>100</v>
      </c>
      <c r="D226" s="15">
        <v>0</v>
      </c>
      <c r="E226" s="16">
        <f t="shared" ref="E226:E239" si="7">C226*D226</f>
        <v>0</v>
      </c>
      <c r="H226" t="s">
        <v>102</v>
      </c>
    </row>
    <row r="227" spans="1:8" ht="51">
      <c r="A227" t="str">
        <f>MID(B:B,1,9)</f>
        <v>AGS100005</v>
      </c>
      <c r="B227" s="13" t="s">
        <v>6</v>
      </c>
      <c r="C227" s="12">
        <v>725</v>
      </c>
      <c r="D227" s="15">
        <v>0</v>
      </c>
      <c r="E227" s="16">
        <f t="shared" si="7"/>
        <v>0</v>
      </c>
      <c r="H227" t="s">
        <v>72</v>
      </c>
    </row>
    <row r="228" spans="1:8" ht="63.75">
      <c r="A228" t="str">
        <f>MID(B:B,1,9)</f>
        <v>AGS100094</v>
      </c>
      <c r="B228" s="13" t="s">
        <v>51</v>
      </c>
      <c r="C228" s="12">
        <v>100</v>
      </c>
      <c r="D228" s="15">
        <v>0</v>
      </c>
      <c r="E228" s="16">
        <f t="shared" si="7"/>
        <v>0</v>
      </c>
      <c r="H228" t="s">
        <v>103</v>
      </c>
    </row>
    <row r="229" spans="1:8" ht="51">
      <c r="A229" t="str">
        <f>MID(B:B,1,9)</f>
        <v>AGS100094</v>
      </c>
      <c r="B229" s="11" t="s">
        <v>52</v>
      </c>
      <c r="C229" s="12">
        <v>650</v>
      </c>
      <c r="D229" s="15">
        <v>0</v>
      </c>
      <c r="E229" s="16">
        <f t="shared" si="7"/>
        <v>0</v>
      </c>
      <c r="H229" t="s">
        <v>73</v>
      </c>
    </row>
    <row r="230" spans="1:8" ht="63.75">
      <c r="A230" t="str">
        <f>MID(B:B,1,9)</f>
        <v>AGS100010</v>
      </c>
      <c r="B230" s="13" t="s">
        <v>0</v>
      </c>
      <c r="C230" s="12">
        <v>0</v>
      </c>
      <c r="D230" s="15">
        <v>0</v>
      </c>
      <c r="E230" s="16">
        <f t="shared" si="7"/>
        <v>0</v>
      </c>
      <c r="H230" t="s">
        <v>74</v>
      </c>
    </row>
    <row r="231" spans="1:8" ht="76.5">
      <c r="A231" t="str">
        <f>MID(B:B,1,9)</f>
        <v>AGS100013</v>
      </c>
      <c r="B231" s="13" t="s">
        <v>9</v>
      </c>
      <c r="C231" s="12">
        <v>500</v>
      </c>
      <c r="D231" s="15">
        <v>0</v>
      </c>
      <c r="E231" s="16">
        <f t="shared" si="7"/>
        <v>0</v>
      </c>
      <c r="H231" t="s">
        <v>74</v>
      </c>
    </row>
    <row r="232" spans="1:8" ht="63.75">
      <c r="A232" t="str">
        <f>MID(B:B,1,9)</f>
        <v>AGS100091</v>
      </c>
      <c r="B232" s="13" t="s">
        <v>44</v>
      </c>
      <c r="C232" s="12">
        <v>0</v>
      </c>
      <c r="D232" s="15">
        <v>0</v>
      </c>
      <c r="E232" s="16">
        <f t="shared" si="7"/>
        <v>0</v>
      </c>
      <c r="H232" t="s">
        <v>75</v>
      </c>
    </row>
    <row r="233" spans="1:8" ht="63.75">
      <c r="A233" t="str">
        <f>MID(B:B,1,9)</f>
        <v>AGS100015</v>
      </c>
      <c r="B233" s="13" t="s">
        <v>3</v>
      </c>
      <c r="C233" s="12">
        <v>0</v>
      </c>
      <c r="D233" s="15">
        <v>0</v>
      </c>
      <c r="E233" s="16">
        <f t="shared" si="7"/>
        <v>0</v>
      </c>
      <c r="H233" t="s">
        <v>76</v>
      </c>
    </row>
    <row r="234" spans="1:8" ht="51">
      <c r="A234" t="str">
        <f>MID(B:B,1,9)</f>
        <v>AGS100015</v>
      </c>
      <c r="B234" s="13" t="s">
        <v>13</v>
      </c>
      <c r="C234" s="12">
        <v>200</v>
      </c>
      <c r="D234" s="15">
        <v>0</v>
      </c>
      <c r="E234" s="16">
        <f t="shared" si="7"/>
        <v>0</v>
      </c>
      <c r="H234" t="s">
        <v>104</v>
      </c>
    </row>
    <row r="235" spans="1:8" ht="63.75">
      <c r="A235" t="str">
        <f>MID(B:B,1,9)</f>
        <v>AGS100017</v>
      </c>
      <c r="B235" s="13" t="s">
        <v>4</v>
      </c>
      <c r="C235" s="12">
        <v>0</v>
      </c>
      <c r="D235" s="15">
        <v>0</v>
      </c>
      <c r="E235" s="16">
        <f t="shared" si="7"/>
        <v>0</v>
      </c>
      <c r="H235" t="s">
        <v>104</v>
      </c>
    </row>
    <row r="236" spans="1:8" ht="51">
      <c r="A236" t="str">
        <f>MID(B:B,1,9)</f>
        <v>AGS100020</v>
      </c>
      <c r="B236" s="13" t="s">
        <v>5</v>
      </c>
      <c r="C236" s="12">
        <v>0</v>
      </c>
      <c r="D236" s="15">
        <v>0</v>
      </c>
      <c r="E236" s="16">
        <f t="shared" si="7"/>
        <v>0</v>
      </c>
      <c r="H236" t="s">
        <v>105</v>
      </c>
    </row>
    <row r="237" spans="1:8" ht="51">
      <c r="A237" t="str">
        <f>MID(B:B,1,9)</f>
        <v>AGS100021</v>
      </c>
      <c r="B237" s="13" t="s">
        <v>16</v>
      </c>
      <c r="C237" s="12">
        <v>400</v>
      </c>
      <c r="D237" s="15">
        <v>0</v>
      </c>
      <c r="E237" s="16">
        <f t="shared" si="7"/>
        <v>0</v>
      </c>
      <c r="H237" t="s">
        <v>105</v>
      </c>
    </row>
    <row r="238" spans="1:8" ht="38.25">
      <c r="A238" t="str">
        <f>MID(B:B,1,9)</f>
        <v>AGS100021</v>
      </c>
      <c r="B238" s="13" t="s">
        <v>18</v>
      </c>
      <c r="C238" s="12">
        <v>150</v>
      </c>
      <c r="D238" s="15">
        <v>0</v>
      </c>
      <c r="E238" s="16">
        <f t="shared" si="7"/>
        <v>0</v>
      </c>
      <c r="H238" t="s">
        <v>106</v>
      </c>
    </row>
    <row r="239" spans="1:8" ht="63.75">
      <c r="A239" t="str">
        <f>MID(B:B,1,9)</f>
        <v>AGS100095</v>
      </c>
      <c r="B239" s="11" t="s">
        <v>53</v>
      </c>
      <c r="C239" s="12">
        <v>300</v>
      </c>
      <c r="D239" s="15">
        <v>0</v>
      </c>
      <c r="E239" s="16">
        <f t="shared" si="7"/>
        <v>0</v>
      </c>
      <c r="H239" t="s">
        <v>77</v>
      </c>
    </row>
    <row r="240" spans="1:8" ht="63.75">
      <c r="A240" t="str">
        <f>MID(B:B,1,9)</f>
        <v>AGS100095</v>
      </c>
      <c r="B240" s="13" t="s">
        <v>54</v>
      </c>
      <c r="C240" s="12">
        <v>605</v>
      </c>
      <c r="D240" s="15">
        <v>0</v>
      </c>
      <c r="E240" s="16">
        <f>C240*D240</f>
        <v>0</v>
      </c>
      <c r="H240" t="s">
        <v>107</v>
      </c>
    </row>
    <row r="241" spans="1:8" ht="63.75">
      <c r="A241" t="str">
        <f>MID(B:B,1,9)</f>
        <v>AGS100096</v>
      </c>
      <c r="B241" s="11" t="s">
        <v>55</v>
      </c>
      <c r="C241" s="12">
        <v>1</v>
      </c>
      <c r="D241" s="15">
        <v>0</v>
      </c>
      <c r="E241" s="16">
        <f t="shared" ref="E241:E286" si="8">C241*D241</f>
        <v>0</v>
      </c>
      <c r="H241" t="s">
        <v>78</v>
      </c>
    </row>
    <row r="242" spans="1:8" ht="38.25">
      <c r="A242" t="str">
        <f>MID(B:B,1,9)</f>
        <v>AGS100025</v>
      </c>
      <c r="B242" s="13" t="s">
        <v>45</v>
      </c>
      <c r="C242" s="12">
        <v>0</v>
      </c>
      <c r="D242" s="15">
        <v>0</v>
      </c>
      <c r="E242" s="16">
        <f t="shared" si="8"/>
        <v>0</v>
      </c>
      <c r="H242" t="s">
        <v>108</v>
      </c>
    </row>
    <row r="243" spans="1:8" ht="25.5">
      <c r="A243" t="str">
        <f>MID(B:B,1,9)</f>
        <v>AGS100097</v>
      </c>
      <c r="B243" s="11" t="s">
        <v>56</v>
      </c>
      <c r="C243" s="12">
        <v>105573</v>
      </c>
      <c r="D243" s="15">
        <v>0</v>
      </c>
      <c r="E243" s="16">
        <f t="shared" si="8"/>
        <v>0</v>
      </c>
      <c r="H243" t="s">
        <v>109</v>
      </c>
    </row>
    <row r="244" spans="1:8" ht="51">
      <c r="A244" t="str">
        <f>MID(B:B,1,9)</f>
        <v>AGS100027</v>
      </c>
      <c r="B244" s="13" t="s">
        <v>46</v>
      </c>
      <c r="C244" s="12">
        <v>0</v>
      </c>
      <c r="D244" s="15">
        <v>0</v>
      </c>
      <c r="E244" s="16">
        <f t="shared" si="8"/>
        <v>0</v>
      </c>
      <c r="H244" t="s">
        <v>110</v>
      </c>
    </row>
    <row r="245" spans="1:8" ht="76.5">
      <c r="A245" t="str">
        <f>MID(B:B,1,9)</f>
        <v>AGS100028</v>
      </c>
      <c r="B245" s="13" t="s">
        <v>40</v>
      </c>
      <c r="C245" s="12">
        <v>150</v>
      </c>
      <c r="D245" s="15">
        <v>0</v>
      </c>
      <c r="E245" s="16">
        <f t="shared" si="8"/>
        <v>0</v>
      </c>
      <c r="H245" t="s">
        <v>111</v>
      </c>
    </row>
    <row r="246" spans="1:8" ht="63.75">
      <c r="A246" t="str">
        <f>MID(B:B,1,9)</f>
        <v>AGS100029</v>
      </c>
      <c r="B246" s="13" t="s">
        <v>25</v>
      </c>
      <c r="C246" s="12">
        <v>350</v>
      </c>
      <c r="D246" s="15">
        <v>0</v>
      </c>
      <c r="E246" s="16">
        <f t="shared" si="8"/>
        <v>0</v>
      </c>
      <c r="H246" t="s">
        <v>79</v>
      </c>
    </row>
    <row r="247" spans="1:8" ht="63.75">
      <c r="A247" t="str">
        <f>MID(B:B,1,9)</f>
        <v>AGS100030</v>
      </c>
      <c r="B247" s="13" t="s">
        <v>27</v>
      </c>
      <c r="C247" s="12">
        <v>100</v>
      </c>
      <c r="D247" s="15">
        <v>0</v>
      </c>
      <c r="E247" s="16">
        <f t="shared" si="8"/>
        <v>0</v>
      </c>
      <c r="H247" t="s">
        <v>112</v>
      </c>
    </row>
    <row r="248" spans="1:8" ht="63.75">
      <c r="A248" t="str">
        <f>MID(B:B,1,9)</f>
        <v>AGS100098</v>
      </c>
      <c r="B248" s="11" t="s">
        <v>57</v>
      </c>
      <c r="C248" s="12">
        <v>150</v>
      </c>
      <c r="D248" s="15">
        <v>0</v>
      </c>
      <c r="E248" s="16">
        <f t="shared" si="8"/>
        <v>0</v>
      </c>
      <c r="H248" t="s">
        <v>80</v>
      </c>
    </row>
    <row r="249" spans="1:8" ht="63.75">
      <c r="A249" t="str">
        <f>MID(B:B,1,9)</f>
        <v>AGS100031</v>
      </c>
      <c r="B249" s="13" t="s">
        <v>7</v>
      </c>
      <c r="C249" s="12">
        <v>0</v>
      </c>
      <c r="D249" s="15">
        <v>0</v>
      </c>
      <c r="E249" s="16">
        <f t="shared" si="8"/>
        <v>0</v>
      </c>
      <c r="H249" t="s">
        <v>113</v>
      </c>
    </row>
    <row r="250" spans="1:8" ht="63.75">
      <c r="A250" t="str">
        <f>MID(B:B,1,9)</f>
        <v>AGS100032</v>
      </c>
      <c r="B250" s="13" t="s">
        <v>30</v>
      </c>
      <c r="C250" s="12">
        <v>500</v>
      </c>
      <c r="D250" s="15">
        <v>0.1</v>
      </c>
      <c r="E250" s="16">
        <f t="shared" si="8"/>
        <v>50</v>
      </c>
      <c r="H250" t="s">
        <v>113</v>
      </c>
    </row>
    <row r="251" spans="1:8" ht="63.75">
      <c r="A251" t="str">
        <f>MID(B:B,1,9)</f>
        <v>AGS100033</v>
      </c>
      <c r="B251" s="13" t="s">
        <v>8</v>
      </c>
      <c r="C251" s="12">
        <v>0</v>
      </c>
      <c r="D251" s="15">
        <v>0</v>
      </c>
      <c r="E251" s="16">
        <f t="shared" si="8"/>
        <v>0</v>
      </c>
      <c r="H251" t="s">
        <v>81</v>
      </c>
    </row>
    <row r="252" spans="1:8" ht="51">
      <c r="A252" t="str">
        <f>MID(B:B,1,9)</f>
        <v>AGS100036</v>
      </c>
      <c r="B252" s="13" t="s">
        <v>58</v>
      </c>
      <c r="C252" s="12">
        <v>200</v>
      </c>
      <c r="D252" s="15">
        <v>1</v>
      </c>
      <c r="E252" s="16">
        <f t="shared" si="8"/>
        <v>200</v>
      </c>
      <c r="H252" t="s">
        <v>82</v>
      </c>
    </row>
    <row r="253" spans="1:8" ht="51">
      <c r="A253" t="str">
        <f>MID(B:B,1,9)</f>
        <v>AGS100036</v>
      </c>
      <c r="B253" s="13" t="s">
        <v>59</v>
      </c>
      <c r="C253" s="12">
        <v>350</v>
      </c>
      <c r="D253" s="15">
        <v>2</v>
      </c>
      <c r="E253" s="16">
        <f t="shared" si="8"/>
        <v>700</v>
      </c>
      <c r="H253" t="s">
        <v>83</v>
      </c>
    </row>
    <row r="254" spans="1:8" ht="51">
      <c r="A254" t="str">
        <f>MID(B:B,1,9)</f>
        <v>AGS100037</v>
      </c>
      <c r="B254" s="13" t="s">
        <v>10</v>
      </c>
      <c r="C254" s="12">
        <v>0</v>
      </c>
      <c r="D254" s="15">
        <v>3</v>
      </c>
      <c r="E254" s="16">
        <f t="shared" si="8"/>
        <v>0</v>
      </c>
      <c r="H254" t="s">
        <v>114</v>
      </c>
    </row>
    <row r="255" spans="1:8" ht="63.75">
      <c r="A255" t="str">
        <f>MID(B:B,1,9)</f>
        <v>AGS100041</v>
      </c>
      <c r="B255" s="13" t="s">
        <v>11</v>
      </c>
      <c r="C255" s="12">
        <v>0</v>
      </c>
      <c r="D255" s="15">
        <v>4</v>
      </c>
      <c r="E255" s="16">
        <f t="shared" si="8"/>
        <v>0</v>
      </c>
      <c r="H255" t="s">
        <v>85</v>
      </c>
    </row>
    <row r="256" spans="1:8" ht="63.75">
      <c r="A256" t="str">
        <f>MID(B:B,1,9)</f>
        <v>AGS100042</v>
      </c>
      <c r="B256" s="13" t="s">
        <v>12</v>
      </c>
      <c r="C256" s="12">
        <v>0</v>
      </c>
      <c r="D256" s="15">
        <v>5</v>
      </c>
      <c r="E256" s="16">
        <f t="shared" si="8"/>
        <v>0</v>
      </c>
      <c r="H256" t="s">
        <v>86</v>
      </c>
    </row>
    <row r="257" spans="1:8" ht="51">
      <c r="A257" t="str">
        <f>MID(B:B,1,9)</f>
        <v>AGS100034</v>
      </c>
      <c r="B257" s="13" t="s">
        <v>60</v>
      </c>
      <c r="C257" s="12">
        <v>0</v>
      </c>
      <c r="D257" s="15">
        <v>6</v>
      </c>
      <c r="E257" s="16">
        <f t="shared" si="8"/>
        <v>0</v>
      </c>
      <c r="H257" t="s">
        <v>87</v>
      </c>
    </row>
    <row r="258" spans="1:8" ht="63.75">
      <c r="A258" t="str">
        <f>MID(B:B,1,9)</f>
        <v>AGS100044</v>
      </c>
      <c r="B258" s="13" t="s">
        <v>14</v>
      </c>
      <c r="C258" s="12">
        <v>0</v>
      </c>
      <c r="D258" s="15">
        <v>7</v>
      </c>
      <c r="E258" s="16">
        <f t="shared" si="8"/>
        <v>0</v>
      </c>
      <c r="H258" t="s">
        <v>115</v>
      </c>
    </row>
    <row r="259" spans="1:8" ht="63.75">
      <c r="A259" t="str">
        <f>MID(B:B,1,9)</f>
        <v>AGS100045</v>
      </c>
      <c r="B259" s="13" t="s">
        <v>15</v>
      </c>
      <c r="C259" s="12">
        <v>0</v>
      </c>
      <c r="D259" s="15">
        <v>8</v>
      </c>
      <c r="E259" s="16">
        <f t="shared" si="8"/>
        <v>0</v>
      </c>
      <c r="H259" t="s">
        <v>88</v>
      </c>
    </row>
    <row r="260" spans="1:8" ht="63.75">
      <c r="A260" t="str">
        <f>MID(B:B,1,9)</f>
        <v>AGS100047</v>
      </c>
      <c r="B260" s="13" t="s">
        <v>17</v>
      </c>
      <c r="C260" s="12">
        <v>0</v>
      </c>
      <c r="D260" s="15">
        <v>9</v>
      </c>
      <c r="E260" s="16">
        <f t="shared" si="8"/>
        <v>0</v>
      </c>
      <c r="H260" t="s">
        <v>116</v>
      </c>
    </row>
    <row r="261" spans="1:8" ht="63.75">
      <c r="A261" t="str">
        <f>MID(B:B,1,9)</f>
        <v>AGS100046</v>
      </c>
      <c r="B261" s="13" t="s">
        <v>31</v>
      </c>
      <c r="C261" s="12">
        <v>400</v>
      </c>
      <c r="D261" s="15">
        <v>10</v>
      </c>
      <c r="E261" s="16">
        <f t="shared" si="8"/>
        <v>4000</v>
      </c>
      <c r="H261" t="s">
        <v>89</v>
      </c>
    </row>
    <row r="262" spans="1:8" ht="51">
      <c r="A262" t="str">
        <f>MID(B:B,1,9)</f>
        <v>AGS100049</v>
      </c>
      <c r="B262" s="13" t="s">
        <v>19</v>
      </c>
      <c r="C262" s="12">
        <v>0</v>
      </c>
      <c r="D262" s="15">
        <v>11</v>
      </c>
      <c r="E262" s="16">
        <f t="shared" si="8"/>
        <v>0</v>
      </c>
      <c r="H262" t="s">
        <v>117</v>
      </c>
    </row>
    <row r="263" spans="1:8" ht="51">
      <c r="A263" t="str">
        <f>MID(B:B,1,9)</f>
        <v>AGS100099</v>
      </c>
      <c r="B263" s="11" t="s">
        <v>61</v>
      </c>
      <c r="C263" s="12">
        <v>700</v>
      </c>
      <c r="D263" s="15">
        <v>12</v>
      </c>
      <c r="E263" s="16">
        <f t="shared" si="8"/>
        <v>8400</v>
      </c>
      <c r="H263" t="s">
        <v>118</v>
      </c>
    </row>
    <row r="264" spans="1:8" ht="63.75">
      <c r="A264" t="str">
        <f>MID(B:B,1,9)</f>
        <v>AGS100051</v>
      </c>
      <c r="B264" s="13" t="s">
        <v>20</v>
      </c>
      <c r="C264" s="12">
        <v>0</v>
      </c>
      <c r="D264" s="15">
        <v>13</v>
      </c>
      <c r="E264" s="16">
        <f t="shared" si="8"/>
        <v>0</v>
      </c>
      <c r="H264" t="s">
        <v>118</v>
      </c>
    </row>
    <row r="265" spans="1:8" ht="51">
      <c r="A265" t="str">
        <f>MID(B:B,1,9)</f>
        <v>AGS1000JU</v>
      </c>
      <c r="B265" s="13" t="s">
        <v>32</v>
      </c>
      <c r="C265" s="12">
        <v>300</v>
      </c>
      <c r="D265" s="15">
        <v>14</v>
      </c>
      <c r="E265" s="16">
        <f t="shared" si="8"/>
        <v>4200</v>
      </c>
      <c r="H265" t="s">
        <v>119</v>
      </c>
    </row>
    <row r="266" spans="1:8" ht="63.75">
      <c r="A266" t="str">
        <f>MID(B:B,1,9)</f>
        <v>AGS100053</v>
      </c>
      <c r="B266" s="13" t="s">
        <v>33</v>
      </c>
      <c r="C266" s="12">
        <v>600</v>
      </c>
      <c r="D266" s="15">
        <v>15</v>
      </c>
      <c r="E266" s="16">
        <f t="shared" si="8"/>
        <v>9000</v>
      </c>
      <c r="H266" t="s">
        <v>90</v>
      </c>
    </row>
    <row r="267" spans="1:8" ht="63.75">
      <c r="A267" t="str">
        <f>MID(B:B,1,9)</f>
        <v>AGS100053</v>
      </c>
      <c r="B267" s="13" t="s">
        <v>34</v>
      </c>
      <c r="C267" s="12">
        <v>150</v>
      </c>
      <c r="D267" s="15">
        <v>16</v>
      </c>
      <c r="E267" s="16">
        <f t="shared" si="8"/>
        <v>2400</v>
      </c>
      <c r="H267" t="s">
        <v>91</v>
      </c>
    </row>
    <row r="268" spans="1:8" ht="51">
      <c r="A268" t="str">
        <f>MID(B:B,1,9)</f>
        <v>AGS100100</v>
      </c>
      <c r="B268" s="11" t="s">
        <v>62</v>
      </c>
      <c r="C268" s="12">
        <v>1</v>
      </c>
      <c r="D268" s="15">
        <v>17</v>
      </c>
      <c r="E268" s="16">
        <f t="shared" si="8"/>
        <v>17</v>
      </c>
      <c r="H268" t="s">
        <v>120</v>
      </c>
    </row>
    <row r="269" spans="1:8" ht="63.75">
      <c r="A269" t="str">
        <f>MID(B:B,1,9)</f>
        <v>AGS100055</v>
      </c>
      <c r="B269" s="13" t="s">
        <v>21</v>
      </c>
      <c r="C269" s="12">
        <v>0</v>
      </c>
      <c r="D269" s="15">
        <v>18</v>
      </c>
      <c r="E269" s="16">
        <f t="shared" si="8"/>
        <v>0</v>
      </c>
      <c r="H269" t="s">
        <v>121</v>
      </c>
    </row>
    <row r="270" spans="1:8" ht="51">
      <c r="A270" t="str">
        <f>MID(B:B,1,9)</f>
        <v>AGS100056</v>
      </c>
      <c r="B270" s="13" t="s">
        <v>22</v>
      </c>
      <c r="C270" s="12">
        <v>0</v>
      </c>
      <c r="D270" s="15">
        <v>19</v>
      </c>
      <c r="E270" s="16">
        <f t="shared" si="8"/>
        <v>0</v>
      </c>
      <c r="H270" t="s">
        <v>122</v>
      </c>
    </row>
    <row r="271" spans="1:8" ht="63.75">
      <c r="A271" t="str">
        <f>MID(B:B,1,9)</f>
        <v>AGS100057</v>
      </c>
      <c r="B271" s="13" t="s">
        <v>35</v>
      </c>
      <c r="C271" s="12">
        <v>1050</v>
      </c>
      <c r="D271" s="15">
        <v>20</v>
      </c>
      <c r="E271" s="16">
        <f t="shared" si="8"/>
        <v>21000</v>
      </c>
      <c r="H271" t="s">
        <v>92</v>
      </c>
    </row>
    <row r="272" spans="1:8" ht="63.75">
      <c r="A272" t="str">
        <f>MID(B:B,1,9)</f>
        <v>AGS100059</v>
      </c>
      <c r="B272" s="13" t="s">
        <v>36</v>
      </c>
      <c r="C272" s="12">
        <v>400</v>
      </c>
      <c r="D272" s="15">
        <v>21</v>
      </c>
      <c r="E272" s="16">
        <f t="shared" si="8"/>
        <v>8400</v>
      </c>
      <c r="H272" t="s">
        <v>123</v>
      </c>
    </row>
    <row r="273" spans="1:8" ht="63.75">
      <c r="A273" t="str">
        <f>MID(B:B,1,9)</f>
        <v>AGS100060</v>
      </c>
      <c r="B273" s="13" t="s">
        <v>37</v>
      </c>
      <c r="C273" s="12">
        <v>200</v>
      </c>
      <c r="D273" s="15">
        <v>22</v>
      </c>
      <c r="E273" s="16">
        <f t="shared" si="8"/>
        <v>4400</v>
      </c>
      <c r="H273" t="s">
        <v>93</v>
      </c>
    </row>
    <row r="274" spans="1:8" ht="51">
      <c r="A274" t="str">
        <f>MID(B:B,1,9)</f>
        <v>AGS100067</v>
      </c>
      <c r="B274" s="13" t="s">
        <v>23</v>
      </c>
      <c r="C274" s="12">
        <v>0</v>
      </c>
      <c r="D274" s="15">
        <v>23</v>
      </c>
      <c r="E274" s="16">
        <f t="shared" si="8"/>
        <v>0</v>
      </c>
      <c r="H274" t="s">
        <v>124</v>
      </c>
    </row>
    <row r="275" spans="1:8" ht="51">
      <c r="A275" t="str">
        <f>MID(B:B,1,9)</f>
        <v>AGS100068</v>
      </c>
      <c r="B275" s="13" t="s">
        <v>63</v>
      </c>
      <c r="C275" s="12">
        <v>200</v>
      </c>
      <c r="D275" s="15">
        <v>24</v>
      </c>
      <c r="E275" s="16">
        <f t="shared" si="8"/>
        <v>4800</v>
      </c>
      <c r="H275" t="s">
        <v>125</v>
      </c>
    </row>
    <row r="276" spans="1:8" ht="25.5">
      <c r="A276" t="str">
        <f>MID(B:B,1,9)</f>
        <v>AGS100092</v>
      </c>
      <c r="B276" s="13" t="s">
        <v>48</v>
      </c>
      <c r="C276" s="12">
        <v>0</v>
      </c>
      <c r="D276" s="15">
        <v>25</v>
      </c>
      <c r="E276" s="16">
        <f t="shared" si="8"/>
        <v>0</v>
      </c>
      <c r="H276" t="s">
        <v>126</v>
      </c>
    </row>
    <row r="277" spans="1:8" ht="51">
      <c r="A277" t="str">
        <f>MID(B:B,1,9)</f>
        <v>AGS100071</v>
      </c>
      <c r="B277" s="13" t="s">
        <v>38</v>
      </c>
      <c r="C277" s="12">
        <v>100</v>
      </c>
      <c r="D277" s="15">
        <v>26</v>
      </c>
      <c r="E277" s="16">
        <f t="shared" si="8"/>
        <v>2600</v>
      </c>
      <c r="H277" t="s">
        <v>94</v>
      </c>
    </row>
    <row r="278" spans="1:8" ht="63.75">
      <c r="A278" t="str">
        <f>MID(B:B,1,9)</f>
        <v>AGS100074</v>
      </c>
      <c r="B278" s="13" t="s">
        <v>39</v>
      </c>
      <c r="C278" s="12">
        <v>350</v>
      </c>
      <c r="D278" s="15">
        <v>27</v>
      </c>
      <c r="E278" s="16">
        <f t="shared" si="8"/>
        <v>9450</v>
      </c>
      <c r="H278" t="s">
        <v>95</v>
      </c>
    </row>
    <row r="279" spans="1:8" ht="51">
      <c r="A279" t="str">
        <f>MID(B:B,1,9)</f>
        <v>AGS100101</v>
      </c>
      <c r="B279" s="11" t="s">
        <v>64</v>
      </c>
      <c r="C279" s="12">
        <v>150</v>
      </c>
      <c r="D279" s="15">
        <v>28</v>
      </c>
      <c r="E279" s="16">
        <f t="shared" si="8"/>
        <v>4200</v>
      </c>
      <c r="H279" t="s">
        <v>127</v>
      </c>
    </row>
    <row r="280" spans="1:8" ht="51">
      <c r="A280" t="str">
        <f>MID(B:B,1,9)</f>
        <v>AGS100075</v>
      </c>
      <c r="B280" s="13" t="s">
        <v>24</v>
      </c>
      <c r="C280" s="12">
        <v>0</v>
      </c>
      <c r="D280" s="15">
        <v>29</v>
      </c>
      <c r="E280" s="16">
        <f t="shared" si="8"/>
        <v>0</v>
      </c>
      <c r="H280" t="s">
        <v>96</v>
      </c>
    </row>
    <row r="281" spans="1:8" ht="51">
      <c r="A281" t="str">
        <f>MID(B:B,1,9)</f>
        <v>AGS100073</v>
      </c>
      <c r="B281" s="13" t="s">
        <v>26</v>
      </c>
      <c r="C281" s="12">
        <v>0</v>
      </c>
      <c r="D281" s="15">
        <v>30</v>
      </c>
      <c r="E281" s="16">
        <f t="shared" si="8"/>
        <v>0</v>
      </c>
      <c r="H281" t="s">
        <v>97</v>
      </c>
    </row>
    <row r="282" spans="1:8" ht="51">
      <c r="A282" t="str">
        <f>MID(B:B,1,9)</f>
        <v>AGS100102</v>
      </c>
      <c r="B282" s="11" t="s">
        <v>65</v>
      </c>
      <c r="C282" s="12">
        <v>1200</v>
      </c>
      <c r="D282" s="15">
        <v>31</v>
      </c>
      <c r="E282" s="16">
        <f t="shared" si="8"/>
        <v>37200</v>
      </c>
      <c r="H282" t="s">
        <v>98</v>
      </c>
    </row>
    <row r="283" spans="1:8" ht="63.75">
      <c r="A283" t="str">
        <f>MID(B:B,1,9)</f>
        <v>AGS100077</v>
      </c>
      <c r="B283" s="13" t="s">
        <v>28</v>
      </c>
      <c r="C283" s="12">
        <v>0</v>
      </c>
      <c r="D283" s="15">
        <v>32</v>
      </c>
      <c r="E283" s="16">
        <f t="shared" si="8"/>
        <v>0</v>
      </c>
      <c r="H283" t="s">
        <v>128</v>
      </c>
    </row>
    <row r="284" spans="1:8" ht="63.75">
      <c r="A284" t="str">
        <f>MID(B:B,1,9)</f>
        <v>AGS100093</v>
      </c>
      <c r="B284" s="11" t="s">
        <v>49</v>
      </c>
      <c r="C284" s="12">
        <v>0</v>
      </c>
      <c r="D284" s="15">
        <v>33</v>
      </c>
      <c r="E284" s="16">
        <f t="shared" si="8"/>
        <v>0</v>
      </c>
      <c r="H284" t="s">
        <v>41</v>
      </c>
    </row>
    <row r="285" spans="1:8" ht="63.75">
      <c r="A285" t="str">
        <f>MID(B:B,1,9)</f>
        <v>AGS100080</v>
      </c>
      <c r="B285" s="13" t="s">
        <v>29</v>
      </c>
      <c r="C285" s="12">
        <v>0</v>
      </c>
      <c r="D285" s="15">
        <v>34</v>
      </c>
      <c r="E285" s="16">
        <f t="shared" si="8"/>
        <v>0</v>
      </c>
      <c r="H285" t="s">
        <v>71</v>
      </c>
    </row>
    <row r="286" spans="1:8" ht="51">
      <c r="A286" t="str">
        <f>MID(B:B,1,9)</f>
        <v>AGS100103</v>
      </c>
      <c r="B286" s="11" t="s">
        <v>66</v>
      </c>
      <c r="C286" s="12">
        <v>200</v>
      </c>
      <c r="D286" s="15">
        <v>35</v>
      </c>
      <c r="E286" s="16">
        <f t="shared" si="8"/>
        <v>7000</v>
      </c>
      <c r="H286" t="s">
        <v>72</v>
      </c>
    </row>
    <row r="287" spans="1:8">
      <c r="A287" t="str">
        <f>MID(B:B,1,9)</f>
        <v>INGRESOS</v>
      </c>
      <c r="B287" s="9" t="s">
        <v>41</v>
      </c>
      <c r="C287" s="10"/>
      <c r="D287" s="15" t="s">
        <v>69</v>
      </c>
      <c r="E287" t="s">
        <v>70</v>
      </c>
      <c r="H287" t="s">
        <v>73</v>
      </c>
    </row>
    <row r="288" spans="1:8" ht="51">
      <c r="A288" t="str">
        <f>MID(B:B,1,9)</f>
        <v>AGS100090</v>
      </c>
      <c r="B288" s="11" t="s">
        <v>43</v>
      </c>
      <c r="C288" s="12">
        <v>200</v>
      </c>
      <c r="D288" s="15">
        <v>7.0000000000000007E-2</v>
      </c>
      <c r="E288" s="16">
        <f>C288*D288</f>
        <v>14.000000000000002</v>
      </c>
      <c r="H288" t="s">
        <v>74</v>
      </c>
    </row>
    <row r="289" spans="1:8" ht="63.75">
      <c r="A289" t="str">
        <f>MID(B:B,1,9)</f>
        <v>AGS100010</v>
      </c>
      <c r="B289" s="13" t="s">
        <v>0</v>
      </c>
      <c r="C289" s="12">
        <v>4350</v>
      </c>
      <c r="D289" s="15">
        <v>0</v>
      </c>
      <c r="E289" s="16">
        <f>C289*D289</f>
        <v>0</v>
      </c>
      <c r="H289" t="s">
        <v>75</v>
      </c>
    </row>
    <row r="290" spans="1:8" ht="63.75">
      <c r="A290" t="str">
        <f>MID(B:B,1,9)</f>
        <v>AGS100091</v>
      </c>
      <c r="B290" s="11" t="s">
        <v>44</v>
      </c>
      <c r="C290" s="12">
        <v>1200</v>
      </c>
      <c r="D290" s="15">
        <v>0</v>
      </c>
      <c r="E290" s="16">
        <f t="shared" ref="E290:E315" si="9">C290*D290</f>
        <v>0</v>
      </c>
      <c r="H290" t="s">
        <v>76</v>
      </c>
    </row>
    <row r="291" spans="1:8" ht="63.75">
      <c r="A291" t="str">
        <f>MID(B:B,1,9)</f>
        <v>AGS100015</v>
      </c>
      <c r="B291" s="13" t="s">
        <v>3</v>
      </c>
      <c r="C291" s="12">
        <v>4950</v>
      </c>
      <c r="D291" s="15">
        <v>0</v>
      </c>
      <c r="E291" s="16">
        <f t="shared" si="9"/>
        <v>0</v>
      </c>
      <c r="H291" t="s">
        <v>77</v>
      </c>
    </row>
    <row r="292" spans="1:8" ht="63.75">
      <c r="A292" t="str">
        <f>MID(B:B,1,9)</f>
        <v>AGS100017</v>
      </c>
      <c r="B292" s="13" t="s">
        <v>4</v>
      </c>
      <c r="C292" s="12">
        <v>5750</v>
      </c>
      <c r="D292" s="15">
        <v>0</v>
      </c>
      <c r="E292" s="16">
        <f t="shared" si="9"/>
        <v>0</v>
      </c>
      <c r="H292" t="s">
        <v>78</v>
      </c>
    </row>
    <row r="293" spans="1:8" ht="51">
      <c r="A293" t="str">
        <f>MID(B:B,1,9)</f>
        <v>AGS100020</v>
      </c>
      <c r="B293" s="13" t="s">
        <v>5</v>
      </c>
      <c r="C293" s="12">
        <v>10625</v>
      </c>
      <c r="D293" s="15">
        <v>0</v>
      </c>
      <c r="E293" s="16">
        <f t="shared" si="9"/>
        <v>0</v>
      </c>
      <c r="H293" t="s">
        <v>79</v>
      </c>
    </row>
    <row r="294" spans="1:8" ht="38.25">
      <c r="A294" t="str">
        <f>MID(B:B,1,9)</f>
        <v>AGS100025</v>
      </c>
      <c r="B294" s="13" t="s">
        <v>45</v>
      </c>
      <c r="C294" s="12">
        <v>3900</v>
      </c>
      <c r="D294" s="15">
        <v>0</v>
      </c>
      <c r="E294" s="16">
        <f t="shared" si="9"/>
        <v>0</v>
      </c>
      <c r="H294" t="s">
        <v>80</v>
      </c>
    </row>
    <row r="295" spans="1:8" ht="51">
      <c r="A295" t="str">
        <f>MID(B:B,1,9)</f>
        <v>AGS100027</v>
      </c>
      <c r="B295" s="13" t="s">
        <v>46</v>
      </c>
      <c r="C295" s="12">
        <v>4900</v>
      </c>
      <c r="D295" s="15">
        <v>0</v>
      </c>
      <c r="E295" s="16">
        <f t="shared" si="9"/>
        <v>0</v>
      </c>
      <c r="H295" t="s">
        <v>81</v>
      </c>
    </row>
    <row r="296" spans="1:8" ht="63.75">
      <c r="A296" t="str">
        <f>MID(B:B,1,9)</f>
        <v>AGS100031</v>
      </c>
      <c r="B296" s="13" t="s">
        <v>7</v>
      </c>
      <c r="C296" s="12">
        <v>6525</v>
      </c>
      <c r="D296" s="15">
        <v>0</v>
      </c>
      <c r="E296" s="16">
        <f t="shared" si="9"/>
        <v>0</v>
      </c>
      <c r="H296" t="s">
        <v>82</v>
      </c>
    </row>
    <row r="297" spans="1:8" ht="63.75">
      <c r="A297" t="str">
        <f>MID(B:B,1,9)</f>
        <v>AGS100033</v>
      </c>
      <c r="B297" s="13" t="s">
        <v>8</v>
      </c>
      <c r="C297" s="12">
        <v>3850</v>
      </c>
      <c r="D297" s="15">
        <v>0</v>
      </c>
      <c r="E297" s="16">
        <f t="shared" si="9"/>
        <v>0</v>
      </c>
      <c r="H297" t="s">
        <v>83</v>
      </c>
    </row>
    <row r="298" spans="1:8" ht="51">
      <c r="A298" t="str">
        <f>MID(B:B,1,9)</f>
        <v>AGS100037</v>
      </c>
      <c r="B298" s="13" t="s">
        <v>10</v>
      </c>
      <c r="C298" s="12">
        <v>7600</v>
      </c>
      <c r="D298" s="15">
        <v>0</v>
      </c>
      <c r="E298" s="16">
        <f t="shared" si="9"/>
        <v>0</v>
      </c>
      <c r="H298" t="s">
        <v>84</v>
      </c>
    </row>
    <row r="299" spans="1:8" ht="63.75">
      <c r="A299" t="str">
        <f>MID(B:B,1,9)</f>
        <v>AGS100041</v>
      </c>
      <c r="B299" s="13" t="s">
        <v>11</v>
      </c>
      <c r="C299" s="12">
        <v>5250</v>
      </c>
      <c r="D299" s="15">
        <v>0</v>
      </c>
      <c r="E299" s="16">
        <f t="shared" si="9"/>
        <v>0</v>
      </c>
      <c r="H299" t="s">
        <v>85</v>
      </c>
    </row>
    <row r="300" spans="1:8" ht="63.75">
      <c r="A300" t="str">
        <f>MID(B:B,1,9)</f>
        <v>AGS100042</v>
      </c>
      <c r="B300" s="13" t="s">
        <v>12</v>
      </c>
      <c r="C300" s="12">
        <v>3400</v>
      </c>
      <c r="D300" s="15">
        <v>0</v>
      </c>
      <c r="E300" s="16">
        <f t="shared" si="9"/>
        <v>0</v>
      </c>
      <c r="H300" t="s">
        <v>86</v>
      </c>
    </row>
    <row r="301" spans="1:8" ht="51">
      <c r="A301" t="str">
        <f>MID(B:B,1,9)</f>
        <v>AGS100043</v>
      </c>
      <c r="B301" s="13" t="s">
        <v>47</v>
      </c>
      <c r="C301" s="12">
        <v>6750</v>
      </c>
      <c r="D301" s="15">
        <v>0</v>
      </c>
      <c r="E301" s="16">
        <f t="shared" si="9"/>
        <v>0</v>
      </c>
      <c r="H301" t="s">
        <v>87</v>
      </c>
    </row>
    <row r="302" spans="1:8" ht="63.75">
      <c r="A302" t="str">
        <f>MID(B:B,1,9)</f>
        <v>AGS100044</v>
      </c>
      <c r="B302" s="13" t="s">
        <v>14</v>
      </c>
      <c r="C302" s="12">
        <v>6130</v>
      </c>
      <c r="D302" s="15">
        <v>0</v>
      </c>
      <c r="E302" s="16">
        <f t="shared" si="9"/>
        <v>0</v>
      </c>
      <c r="H302" t="s">
        <v>88</v>
      </c>
    </row>
    <row r="303" spans="1:8" ht="63.75">
      <c r="A303" t="str">
        <f>MID(B:B,1,9)</f>
        <v>AGS100045</v>
      </c>
      <c r="B303" s="13" t="s">
        <v>15</v>
      </c>
      <c r="C303" s="12">
        <v>1175</v>
      </c>
      <c r="D303" s="15">
        <v>0</v>
      </c>
      <c r="E303" s="16">
        <f t="shared" si="9"/>
        <v>0</v>
      </c>
      <c r="H303" t="s">
        <v>89</v>
      </c>
    </row>
    <row r="304" spans="1:8" ht="63.75">
      <c r="A304" t="str">
        <f>MID(B:B,1,9)</f>
        <v>AGS100047</v>
      </c>
      <c r="B304" s="13" t="s">
        <v>17</v>
      </c>
      <c r="C304" s="12">
        <v>950</v>
      </c>
      <c r="D304" s="15">
        <v>0</v>
      </c>
      <c r="E304" s="16">
        <f>C304*D304</f>
        <v>0</v>
      </c>
      <c r="H304" t="s">
        <v>90</v>
      </c>
    </row>
    <row r="305" spans="1:8" ht="51">
      <c r="A305" t="str">
        <f>MID(B:B,1,9)</f>
        <v>AGS100049</v>
      </c>
      <c r="B305" s="13" t="s">
        <v>19</v>
      </c>
      <c r="C305" s="12">
        <v>6175</v>
      </c>
      <c r="D305" s="15">
        <v>0</v>
      </c>
      <c r="E305" s="16">
        <f t="shared" si="9"/>
        <v>0</v>
      </c>
      <c r="H305" t="s">
        <v>91</v>
      </c>
    </row>
    <row r="306" spans="1:8" ht="63.75">
      <c r="A306" t="str">
        <f>MID(B:B,1,9)</f>
        <v>AGS100051</v>
      </c>
      <c r="B306" s="13" t="s">
        <v>20</v>
      </c>
      <c r="C306" s="12">
        <v>2300</v>
      </c>
      <c r="D306" s="15">
        <v>0</v>
      </c>
      <c r="E306" s="16">
        <f t="shared" si="9"/>
        <v>0</v>
      </c>
      <c r="H306" t="s">
        <v>92</v>
      </c>
    </row>
    <row r="307" spans="1:8" ht="63.75">
      <c r="A307" t="str">
        <f>MID(B:B,1,9)</f>
        <v>AGS100055</v>
      </c>
      <c r="B307" s="13" t="s">
        <v>21</v>
      </c>
      <c r="C307" s="12">
        <v>2300</v>
      </c>
      <c r="D307" s="15">
        <v>0</v>
      </c>
      <c r="E307" s="16">
        <f t="shared" si="9"/>
        <v>0</v>
      </c>
      <c r="H307" t="s">
        <v>93</v>
      </c>
    </row>
    <row r="308" spans="1:8" ht="51">
      <c r="A308" t="str">
        <f>MID(B:B,1,9)</f>
        <v>AGS100056</v>
      </c>
      <c r="B308" s="13" t="s">
        <v>22</v>
      </c>
      <c r="C308" s="12">
        <v>9450</v>
      </c>
      <c r="D308" s="15">
        <v>0</v>
      </c>
      <c r="E308" s="16">
        <f t="shared" si="9"/>
        <v>0</v>
      </c>
      <c r="H308" t="s">
        <v>94</v>
      </c>
    </row>
    <row r="309" spans="1:8" ht="51">
      <c r="A309" t="str">
        <f>MID(B:B,1,9)</f>
        <v>AGS100067</v>
      </c>
      <c r="B309" s="13" t="s">
        <v>23</v>
      </c>
      <c r="C309" s="12">
        <v>3525</v>
      </c>
      <c r="D309" s="15">
        <v>0</v>
      </c>
      <c r="E309" s="16">
        <f t="shared" si="9"/>
        <v>0</v>
      </c>
      <c r="H309" t="s">
        <v>95</v>
      </c>
    </row>
    <row r="310" spans="1:8" ht="25.5">
      <c r="A310" t="str">
        <f>MID(B:B,1,9)</f>
        <v>AGS100092</v>
      </c>
      <c r="B310" s="11" t="s">
        <v>48</v>
      </c>
      <c r="C310" s="12">
        <v>2000</v>
      </c>
      <c r="D310" s="15">
        <v>0</v>
      </c>
      <c r="E310" s="16">
        <f t="shared" si="9"/>
        <v>0</v>
      </c>
      <c r="H310" t="s">
        <v>96</v>
      </c>
    </row>
    <row r="311" spans="1:8" ht="51">
      <c r="A311" t="str">
        <f>MID(B:B,1,9)</f>
        <v>AGS100075</v>
      </c>
      <c r="B311" s="13" t="s">
        <v>24</v>
      </c>
      <c r="C311" s="12">
        <v>1050</v>
      </c>
      <c r="D311" s="15">
        <v>0</v>
      </c>
      <c r="E311" s="16">
        <f t="shared" si="9"/>
        <v>0</v>
      </c>
      <c r="H311" t="s">
        <v>97</v>
      </c>
    </row>
    <row r="312" spans="1:8" ht="51">
      <c r="A312" t="str">
        <f>MID(B:B,1,9)</f>
        <v>AGS100073</v>
      </c>
      <c r="B312" s="13" t="s">
        <v>26</v>
      </c>
      <c r="C312" s="12">
        <v>6200</v>
      </c>
      <c r="D312" s="15">
        <v>0</v>
      </c>
      <c r="E312" s="16">
        <f t="shared" si="9"/>
        <v>0</v>
      </c>
      <c r="H312" t="s">
        <v>98</v>
      </c>
    </row>
    <row r="313" spans="1:8" ht="63.75">
      <c r="A313" t="str">
        <f>MID(B:B,1,9)</f>
        <v>AGS100077</v>
      </c>
      <c r="B313" s="13" t="s">
        <v>28</v>
      </c>
      <c r="C313" s="12">
        <v>1900</v>
      </c>
      <c r="D313" s="15">
        <v>0</v>
      </c>
      <c r="E313" s="16">
        <f t="shared" si="9"/>
        <v>0</v>
      </c>
      <c r="H313" t="s">
        <v>42</v>
      </c>
    </row>
    <row r="314" spans="1:8" ht="63.75">
      <c r="A314" t="str">
        <f>MID(B:B,1,9)</f>
        <v>AGS100093</v>
      </c>
      <c r="B314" s="11" t="s">
        <v>49</v>
      </c>
      <c r="C314" s="12">
        <v>400</v>
      </c>
      <c r="D314" s="15">
        <v>0.1</v>
      </c>
      <c r="E314" s="16">
        <f t="shared" si="9"/>
        <v>40</v>
      </c>
      <c r="H314" t="s">
        <v>99</v>
      </c>
    </row>
    <row r="315" spans="1:8" ht="64.5" thickBot="1">
      <c r="A315" t="str">
        <f>MID(B:B,1,9)</f>
        <v>AGS100080</v>
      </c>
      <c r="B315" s="13" t="s">
        <v>29</v>
      </c>
      <c r="C315" s="12">
        <v>4750</v>
      </c>
      <c r="D315" s="15">
        <v>0</v>
      </c>
      <c r="E315" s="16">
        <f t="shared" si="9"/>
        <v>0</v>
      </c>
      <c r="H315" t="s">
        <v>100</v>
      </c>
    </row>
    <row r="316" spans="1:8" ht="15" thickTop="1">
      <c r="B316" s="10"/>
      <c r="C316" s="14">
        <v>117555</v>
      </c>
      <c r="D316" s="15"/>
      <c r="H316" t="s">
        <v>71</v>
      </c>
    </row>
    <row r="317" spans="1:8">
      <c r="A317" t="str">
        <f>MID(B:B,1,9)</f>
        <v>EGRESOS</v>
      </c>
      <c r="B317" s="9" t="s">
        <v>42</v>
      </c>
      <c r="C317" s="10"/>
      <c r="D317" s="15"/>
      <c r="H317" t="s">
        <v>71</v>
      </c>
    </row>
    <row r="318" spans="1:8" ht="51">
      <c r="A318" t="str">
        <f>MID(B:B,1,9)</f>
        <v>AGS100002</v>
      </c>
      <c r="B318" s="13" t="s">
        <v>1</v>
      </c>
      <c r="C318" s="12">
        <v>100</v>
      </c>
      <c r="D318" s="15" t="s">
        <v>69</v>
      </c>
      <c r="E318" t="s">
        <v>70</v>
      </c>
      <c r="H318" t="s">
        <v>101</v>
      </c>
    </row>
    <row r="319" spans="1:8" ht="63.75">
      <c r="A319" t="str">
        <f>MID(B:B,1,9)</f>
        <v>AGS100004</v>
      </c>
      <c r="B319" s="13" t="s">
        <v>2</v>
      </c>
      <c r="C319" s="12">
        <v>150</v>
      </c>
      <c r="D319" s="15">
        <v>7.0000000000000007E-2</v>
      </c>
      <c r="E319" s="16">
        <f>C319*D319</f>
        <v>10.500000000000002</v>
      </c>
      <c r="H319" t="s">
        <v>102</v>
      </c>
    </row>
    <row r="320" spans="1:8" ht="51">
      <c r="A320" t="str">
        <f>MID(B:B,1,9)</f>
        <v>AGS100090</v>
      </c>
      <c r="B320" s="13" t="s">
        <v>43</v>
      </c>
      <c r="C320" s="12">
        <v>200</v>
      </c>
      <c r="D320" s="15">
        <v>0</v>
      </c>
      <c r="E320" s="16">
        <f>C320*D320</f>
        <v>0</v>
      </c>
      <c r="H320" t="s">
        <v>102</v>
      </c>
    </row>
    <row r="321" spans="1:8" ht="51">
      <c r="A321" t="str">
        <f>MID(B:B,1,9)</f>
        <v>AGS100090</v>
      </c>
      <c r="B321" s="13" t="s">
        <v>50</v>
      </c>
      <c r="C321" s="12">
        <v>100</v>
      </c>
      <c r="D321" s="15">
        <v>0</v>
      </c>
      <c r="E321" s="16">
        <f t="shared" ref="E321:E334" si="10">C321*D321</f>
        <v>0</v>
      </c>
      <c r="H321" t="s">
        <v>72</v>
      </c>
    </row>
    <row r="322" spans="1:8" ht="51">
      <c r="A322" t="str">
        <f>MID(B:B,1,9)</f>
        <v>AGS100005</v>
      </c>
      <c r="B322" s="13" t="s">
        <v>6</v>
      </c>
      <c r="C322" s="12">
        <v>725</v>
      </c>
      <c r="D322" s="15">
        <v>0</v>
      </c>
      <c r="E322" s="16">
        <f t="shared" si="10"/>
        <v>0</v>
      </c>
      <c r="H322" t="s">
        <v>103</v>
      </c>
    </row>
    <row r="323" spans="1:8" ht="63.75">
      <c r="A323" t="str">
        <f>MID(B:B,1,9)</f>
        <v>AGS100094</v>
      </c>
      <c r="B323" s="13" t="s">
        <v>51</v>
      </c>
      <c r="C323" s="12">
        <v>100</v>
      </c>
      <c r="D323" s="15">
        <v>0</v>
      </c>
      <c r="E323" s="16">
        <f t="shared" si="10"/>
        <v>0</v>
      </c>
      <c r="H323" t="s">
        <v>73</v>
      </c>
    </row>
    <row r="324" spans="1:8" ht="51">
      <c r="A324" t="str">
        <f>MID(B:B,1,9)</f>
        <v>AGS100094</v>
      </c>
      <c r="B324" s="11" t="s">
        <v>52</v>
      </c>
      <c r="C324" s="12">
        <v>650</v>
      </c>
      <c r="D324" s="15">
        <v>0</v>
      </c>
      <c r="E324" s="16">
        <f t="shared" si="10"/>
        <v>0</v>
      </c>
      <c r="H324" t="s">
        <v>74</v>
      </c>
    </row>
    <row r="325" spans="1:8" ht="63.75">
      <c r="A325" t="str">
        <f>MID(B:B,1,9)</f>
        <v>AGS100010</v>
      </c>
      <c r="B325" s="13" t="s">
        <v>0</v>
      </c>
      <c r="C325" s="12">
        <v>0</v>
      </c>
      <c r="D325" s="15">
        <v>0</v>
      </c>
      <c r="E325" s="16">
        <f t="shared" si="10"/>
        <v>0</v>
      </c>
      <c r="H325" t="s">
        <v>74</v>
      </c>
    </row>
    <row r="326" spans="1:8" ht="76.5">
      <c r="A326" t="str">
        <f>MID(B:B,1,9)</f>
        <v>AGS100013</v>
      </c>
      <c r="B326" s="13" t="s">
        <v>9</v>
      </c>
      <c r="C326" s="12">
        <v>500</v>
      </c>
      <c r="D326" s="15">
        <v>0</v>
      </c>
      <c r="E326" s="16">
        <f t="shared" si="10"/>
        <v>0</v>
      </c>
      <c r="H326" t="s">
        <v>75</v>
      </c>
    </row>
    <row r="327" spans="1:8" ht="63.75">
      <c r="A327" t="str">
        <f>MID(B:B,1,9)</f>
        <v>AGS100091</v>
      </c>
      <c r="B327" s="13" t="s">
        <v>44</v>
      </c>
      <c r="C327" s="12">
        <v>0</v>
      </c>
      <c r="D327" s="15">
        <v>0</v>
      </c>
      <c r="E327" s="16">
        <f t="shared" si="10"/>
        <v>0</v>
      </c>
      <c r="H327" t="s">
        <v>76</v>
      </c>
    </row>
    <row r="328" spans="1:8" ht="63.75">
      <c r="A328" t="str">
        <f>MID(B:B,1,9)</f>
        <v>AGS100015</v>
      </c>
      <c r="B328" s="13" t="s">
        <v>3</v>
      </c>
      <c r="C328" s="12">
        <v>0</v>
      </c>
      <c r="D328" s="15">
        <v>0</v>
      </c>
      <c r="E328" s="16">
        <f t="shared" si="10"/>
        <v>0</v>
      </c>
      <c r="H328" t="s">
        <v>104</v>
      </c>
    </row>
    <row r="329" spans="1:8" ht="51">
      <c r="A329" t="str">
        <f>MID(B:B,1,9)</f>
        <v>AGS100015</v>
      </c>
      <c r="B329" s="13" t="s">
        <v>13</v>
      </c>
      <c r="C329" s="12">
        <v>200</v>
      </c>
      <c r="D329" s="15">
        <v>0</v>
      </c>
      <c r="E329" s="16">
        <f t="shared" si="10"/>
        <v>0</v>
      </c>
      <c r="H329" t="s">
        <v>104</v>
      </c>
    </row>
    <row r="330" spans="1:8" ht="63.75">
      <c r="A330" t="str">
        <f>MID(B:B,1,9)</f>
        <v>AGS100017</v>
      </c>
      <c r="B330" s="13" t="s">
        <v>4</v>
      </c>
      <c r="C330" s="12">
        <v>0</v>
      </c>
      <c r="D330" s="15">
        <v>0</v>
      </c>
      <c r="E330" s="16">
        <f t="shared" si="10"/>
        <v>0</v>
      </c>
      <c r="H330" t="s">
        <v>105</v>
      </c>
    </row>
    <row r="331" spans="1:8" ht="51">
      <c r="A331" t="str">
        <f>MID(B:B,1,9)</f>
        <v>AGS100020</v>
      </c>
      <c r="B331" s="13" t="s">
        <v>5</v>
      </c>
      <c r="C331" s="12">
        <v>0</v>
      </c>
      <c r="D331" s="15">
        <v>0</v>
      </c>
      <c r="E331" s="16">
        <f t="shared" si="10"/>
        <v>0</v>
      </c>
      <c r="H331" t="s">
        <v>105</v>
      </c>
    </row>
    <row r="332" spans="1:8" ht="51">
      <c r="A332" t="str">
        <f>MID(B:B,1,9)</f>
        <v>AGS100021</v>
      </c>
      <c r="B332" s="13" t="s">
        <v>16</v>
      </c>
      <c r="C332" s="12">
        <v>400</v>
      </c>
      <c r="D332" s="15">
        <v>0</v>
      </c>
      <c r="E332" s="16">
        <f t="shared" si="10"/>
        <v>0</v>
      </c>
      <c r="H332" t="s">
        <v>106</v>
      </c>
    </row>
    <row r="333" spans="1:8" ht="38.25">
      <c r="A333" t="str">
        <f>MID(B:B,1,9)</f>
        <v>AGS100021</v>
      </c>
      <c r="B333" s="13" t="s">
        <v>18</v>
      </c>
      <c r="C333" s="12">
        <v>150</v>
      </c>
      <c r="D333" s="15">
        <v>0</v>
      </c>
      <c r="E333" s="16">
        <f t="shared" si="10"/>
        <v>0</v>
      </c>
      <c r="H333" t="s">
        <v>77</v>
      </c>
    </row>
    <row r="334" spans="1:8" ht="63.75">
      <c r="A334" t="str">
        <f>MID(B:B,1,9)</f>
        <v>AGS100095</v>
      </c>
      <c r="B334" s="11" t="s">
        <v>53</v>
      </c>
      <c r="C334" s="12">
        <v>300</v>
      </c>
      <c r="D334" s="15">
        <v>0</v>
      </c>
      <c r="E334" s="16">
        <f t="shared" si="10"/>
        <v>0</v>
      </c>
      <c r="H334" t="s">
        <v>107</v>
      </c>
    </row>
    <row r="335" spans="1:8" ht="63.75">
      <c r="A335" t="str">
        <f>MID(B:B,1,9)</f>
        <v>AGS100095</v>
      </c>
      <c r="B335" s="13" t="s">
        <v>54</v>
      </c>
      <c r="C335" s="12">
        <v>605</v>
      </c>
      <c r="D335" s="15">
        <v>0</v>
      </c>
      <c r="E335" s="16">
        <f>C335*D335</f>
        <v>0</v>
      </c>
      <c r="H335" t="s">
        <v>78</v>
      </c>
    </row>
    <row r="336" spans="1:8" ht="63.75">
      <c r="A336" t="str">
        <f>MID(B:B,1,9)</f>
        <v>AGS100096</v>
      </c>
      <c r="B336" s="11" t="s">
        <v>55</v>
      </c>
      <c r="C336" s="12">
        <v>1</v>
      </c>
      <c r="D336" s="15">
        <v>0</v>
      </c>
      <c r="E336" s="16">
        <f t="shared" ref="E336:E381" si="11">C336*D336</f>
        <v>0</v>
      </c>
      <c r="H336" t="s">
        <v>108</v>
      </c>
    </row>
    <row r="337" spans="1:8" ht="38.25">
      <c r="A337" t="str">
        <f>MID(B:B,1,9)</f>
        <v>AGS100025</v>
      </c>
      <c r="B337" s="13" t="s">
        <v>45</v>
      </c>
      <c r="C337" s="12">
        <v>0</v>
      </c>
      <c r="D337" s="15">
        <v>0</v>
      </c>
      <c r="E337" s="16">
        <f t="shared" si="11"/>
        <v>0</v>
      </c>
      <c r="H337" t="s">
        <v>109</v>
      </c>
    </row>
    <row r="338" spans="1:8" ht="25.5">
      <c r="A338" t="str">
        <f>MID(B:B,1,9)</f>
        <v>AGS100097</v>
      </c>
      <c r="B338" s="11" t="s">
        <v>56</v>
      </c>
      <c r="C338" s="12">
        <v>105573</v>
      </c>
      <c r="D338" s="15">
        <v>0</v>
      </c>
      <c r="E338" s="16">
        <f t="shared" si="11"/>
        <v>0</v>
      </c>
      <c r="H338" t="s">
        <v>110</v>
      </c>
    </row>
    <row r="339" spans="1:8" ht="51">
      <c r="A339" t="str">
        <f>MID(B:B,1,9)</f>
        <v>AGS100027</v>
      </c>
      <c r="B339" s="13" t="s">
        <v>46</v>
      </c>
      <c r="C339" s="12">
        <v>0</v>
      </c>
      <c r="D339" s="15">
        <v>0</v>
      </c>
      <c r="E339" s="16">
        <f t="shared" si="11"/>
        <v>0</v>
      </c>
      <c r="H339" t="s">
        <v>111</v>
      </c>
    </row>
    <row r="340" spans="1:8" ht="76.5">
      <c r="A340" t="str">
        <f>MID(B:B,1,9)</f>
        <v>AGS100028</v>
      </c>
      <c r="B340" s="13" t="s">
        <v>40</v>
      </c>
      <c r="C340" s="12">
        <v>150</v>
      </c>
      <c r="D340" s="15">
        <v>0</v>
      </c>
      <c r="E340" s="16">
        <f t="shared" si="11"/>
        <v>0</v>
      </c>
      <c r="H340" t="s">
        <v>79</v>
      </c>
    </row>
    <row r="341" spans="1:8" ht="63.75">
      <c r="A341" t="str">
        <f>MID(B:B,1,9)</f>
        <v>AGS100029</v>
      </c>
      <c r="B341" s="13" t="s">
        <v>25</v>
      </c>
      <c r="C341" s="12">
        <v>350</v>
      </c>
      <c r="D341" s="15">
        <v>0</v>
      </c>
      <c r="E341" s="16">
        <f t="shared" si="11"/>
        <v>0</v>
      </c>
      <c r="H341" t="s">
        <v>112</v>
      </c>
    </row>
    <row r="342" spans="1:8" ht="63.75">
      <c r="A342" t="str">
        <f>MID(B:B,1,9)</f>
        <v>AGS100030</v>
      </c>
      <c r="B342" s="13" t="s">
        <v>27</v>
      </c>
      <c r="C342" s="12">
        <v>100</v>
      </c>
      <c r="D342" s="15">
        <v>0</v>
      </c>
      <c r="E342" s="16">
        <f t="shared" si="11"/>
        <v>0</v>
      </c>
      <c r="H342" t="s">
        <v>80</v>
      </c>
    </row>
    <row r="343" spans="1:8" ht="63.75">
      <c r="A343" t="str">
        <f>MID(B:B,1,9)</f>
        <v>AGS100098</v>
      </c>
      <c r="B343" s="11" t="s">
        <v>57</v>
      </c>
      <c r="C343" s="12">
        <v>150</v>
      </c>
      <c r="D343" s="15">
        <v>0</v>
      </c>
      <c r="E343" s="16">
        <f t="shared" si="11"/>
        <v>0</v>
      </c>
      <c r="H343" t="s">
        <v>113</v>
      </c>
    </row>
    <row r="344" spans="1:8" ht="63.75">
      <c r="A344" t="str">
        <f>MID(B:B,1,9)</f>
        <v>AGS100031</v>
      </c>
      <c r="B344" s="13" t="s">
        <v>7</v>
      </c>
      <c r="C344" s="12">
        <v>0</v>
      </c>
      <c r="D344" s="15">
        <v>0</v>
      </c>
      <c r="E344" s="16">
        <f t="shared" si="11"/>
        <v>0</v>
      </c>
      <c r="H344" t="s">
        <v>113</v>
      </c>
    </row>
    <row r="345" spans="1:8" ht="63.75">
      <c r="A345" t="str">
        <f>MID(B:B,1,9)</f>
        <v>AGS100032</v>
      </c>
      <c r="B345" s="13" t="s">
        <v>30</v>
      </c>
      <c r="C345" s="12">
        <v>500</v>
      </c>
      <c r="D345" s="15">
        <v>0.1</v>
      </c>
      <c r="E345" s="16">
        <f t="shared" si="11"/>
        <v>50</v>
      </c>
      <c r="H345" t="s">
        <v>81</v>
      </c>
    </row>
    <row r="346" spans="1:8" ht="63.75">
      <c r="A346" t="str">
        <f>MID(B:B,1,9)</f>
        <v>AGS100033</v>
      </c>
      <c r="B346" s="13" t="s">
        <v>8</v>
      </c>
      <c r="C346" s="12">
        <v>0</v>
      </c>
      <c r="D346" s="15">
        <v>0</v>
      </c>
      <c r="E346" s="16">
        <f t="shared" si="11"/>
        <v>0</v>
      </c>
      <c r="H346" t="s">
        <v>82</v>
      </c>
    </row>
    <row r="347" spans="1:8" ht="51">
      <c r="A347" t="str">
        <f>MID(B:B,1,9)</f>
        <v>AGS100036</v>
      </c>
      <c r="B347" s="13" t="s">
        <v>58</v>
      </c>
      <c r="C347" s="12">
        <v>200</v>
      </c>
      <c r="D347" s="15">
        <v>1</v>
      </c>
      <c r="E347" s="16">
        <f t="shared" si="11"/>
        <v>200</v>
      </c>
      <c r="H347" t="s">
        <v>83</v>
      </c>
    </row>
    <row r="348" spans="1:8" ht="51">
      <c r="A348" t="str">
        <f>MID(B:B,1,9)</f>
        <v>AGS100036</v>
      </c>
      <c r="B348" s="13" t="s">
        <v>59</v>
      </c>
      <c r="C348" s="12">
        <v>350</v>
      </c>
      <c r="D348" s="15">
        <v>2</v>
      </c>
      <c r="E348" s="16">
        <f t="shared" si="11"/>
        <v>700</v>
      </c>
      <c r="H348" t="s">
        <v>114</v>
      </c>
    </row>
    <row r="349" spans="1:8" ht="51">
      <c r="A349" t="str">
        <f>MID(B:B,1,9)</f>
        <v>AGS100037</v>
      </c>
      <c r="B349" s="13" t="s">
        <v>10</v>
      </c>
      <c r="C349" s="12">
        <v>0</v>
      </c>
      <c r="D349" s="15">
        <v>3</v>
      </c>
      <c r="E349" s="16">
        <f t="shared" si="11"/>
        <v>0</v>
      </c>
      <c r="H349" t="s">
        <v>85</v>
      </c>
    </row>
    <row r="350" spans="1:8" ht="63.75">
      <c r="A350" t="str">
        <f>MID(B:B,1,9)</f>
        <v>AGS100041</v>
      </c>
      <c r="B350" s="13" t="s">
        <v>11</v>
      </c>
      <c r="C350" s="12">
        <v>0</v>
      </c>
      <c r="D350" s="15">
        <v>4</v>
      </c>
      <c r="E350" s="16">
        <f t="shared" si="11"/>
        <v>0</v>
      </c>
      <c r="H350" t="s">
        <v>86</v>
      </c>
    </row>
    <row r="351" spans="1:8" ht="63.75">
      <c r="A351" t="str">
        <f>MID(B:B,1,9)</f>
        <v>AGS100042</v>
      </c>
      <c r="B351" s="13" t="s">
        <v>12</v>
      </c>
      <c r="C351" s="12">
        <v>0</v>
      </c>
      <c r="D351" s="15">
        <v>5</v>
      </c>
      <c r="E351" s="16">
        <f t="shared" si="11"/>
        <v>0</v>
      </c>
      <c r="H351" t="s">
        <v>87</v>
      </c>
    </row>
    <row r="352" spans="1:8" ht="51">
      <c r="A352" t="str">
        <f>MID(B:B,1,9)</f>
        <v>AGS100034</v>
      </c>
      <c r="B352" s="13" t="s">
        <v>60</v>
      </c>
      <c r="C352" s="12">
        <v>0</v>
      </c>
      <c r="D352" s="15">
        <v>6</v>
      </c>
      <c r="E352" s="16">
        <f t="shared" si="11"/>
        <v>0</v>
      </c>
      <c r="H352" t="s">
        <v>115</v>
      </c>
    </row>
    <row r="353" spans="1:8" ht="63.75">
      <c r="A353" t="str">
        <f>MID(B:B,1,9)</f>
        <v>AGS100044</v>
      </c>
      <c r="B353" s="13" t="s">
        <v>14</v>
      </c>
      <c r="C353" s="12">
        <v>0</v>
      </c>
      <c r="D353" s="15">
        <v>7</v>
      </c>
      <c r="E353" s="16">
        <f t="shared" si="11"/>
        <v>0</v>
      </c>
      <c r="H353" t="s">
        <v>88</v>
      </c>
    </row>
    <row r="354" spans="1:8" ht="63.75">
      <c r="A354" t="str">
        <f>MID(B:B,1,9)</f>
        <v>AGS100045</v>
      </c>
      <c r="B354" s="13" t="s">
        <v>15</v>
      </c>
      <c r="C354" s="12">
        <v>0</v>
      </c>
      <c r="D354" s="15">
        <v>8</v>
      </c>
      <c r="E354" s="16">
        <f t="shared" si="11"/>
        <v>0</v>
      </c>
      <c r="H354" t="s">
        <v>116</v>
      </c>
    </row>
    <row r="355" spans="1:8" ht="63.75">
      <c r="A355" t="str">
        <f>MID(B:B,1,9)</f>
        <v>AGS100047</v>
      </c>
      <c r="B355" s="13" t="s">
        <v>17</v>
      </c>
      <c r="C355" s="12">
        <v>0</v>
      </c>
      <c r="D355" s="15">
        <v>9</v>
      </c>
      <c r="E355" s="16">
        <f t="shared" si="11"/>
        <v>0</v>
      </c>
      <c r="H355" t="s">
        <v>89</v>
      </c>
    </row>
    <row r="356" spans="1:8" ht="63.75">
      <c r="A356" t="str">
        <f>MID(B:B,1,9)</f>
        <v>AGS100046</v>
      </c>
      <c r="B356" s="13" t="s">
        <v>31</v>
      </c>
      <c r="C356" s="12">
        <v>400</v>
      </c>
      <c r="D356" s="15">
        <v>10</v>
      </c>
      <c r="E356" s="16">
        <f t="shared" si="11"/>
        <v>4000</v>
      </c>
      <c r="H356" t="s">
        <v>117</v>
      </c>
    </row>
    <row r="357" spans="1:8" ht="51">
      <c r="A357" t="str">
        <f>MID(B:B,1,9)</f>
        <v>AGS100049</v>
      </c>
      <c r="B357" s="13" t="s">
        <v>19</v>
      </c>
      <c r="C357" s="12">
        <v>0</v>
      </c>
      <c r="D357" s="15">
        <v>11</v>
      </c>
      <c r="E357" s="16">
        <f t="shared" si="11"/>
        <v>0</v>
      </c>
      <c r="H357" t="s">
        <v>118</v>
      </c>
    </row>
    <row r="358" spans="1:8" ht="51">
      <c r="A358" t="str">
        <f>MID(B:B,1,9)</f>
        <v>AGS100099</v>
      </c>
      <c r="B358" s="11" t="s">
        <v>61</v>
      </c>
      <c r="C358" s="12">
        <v>700</v>
      </c>
      <c r="D358" s="15">
        <v>12</v>
      </c>
      <c r="E358" s="16">
        <f t="shared" si="11"/>
        <v>8400</v>
      </c>
      <c r="H358" t="s">
        <v>118</v>
      </c>
    </row>
    <row r="359" spans="1:8" ht="63.75">
      <c r="A359" t="str">
        <f>MID(B:B,1,9)</f>
        <v>AGS100051</v>
      </c>
      <c r="B359" s="13" t="s">
        <v>20</v>
      </c>
      <c r="C359" s="12">
        <v>0</v>
      </c>
      <c r="D359" s="15">
        <v>13</v>
      </c>
      <c r="E359" s="16">
        <f t="shared" si="11"/>
        <v>0</v>
      </c>
      <c r="H359" t="s">
        <v>119</v>
      </c>
    </row>
    <row r="360" spans="1:8" ht="51">
      <c r="A360" t="str">
        <f>MID(B:B,1,9)</f>
        <v>AGS1000JU</v>
      </c>
      <c r="B360" s="13" t="s">
        <v>32</v>
      </c>
      <c r="C360" s="12">
        <v>300</v>
      </c>
      <c r="D360" s="15">
        <v>14</v>
      </c>
      <c r="E360" s="16">
        <f t="shared" si="11"/>
        <v>4200</v>
      </c>
      <c r="H360" t="s">
        <v>90</v>
      </c>
    </row>
    <row r="361" spans="1:8" ht="63.75">
      <c r="A361" t="str">
        <f>MID(B:B,1,9)</f>
        <v>AGS100053</v>
      </c>
      <c r="B361" s="13" t="s">
        <v>33</v>
      </c>
      <c r="C361" s="12">
        <v>600</v>
      </c>
      <c r="D361" s="15">
        <v>15</v>
      </c>
      <c r="E361" s="16">
        <f t="shared" si="11"/>
        <v>9000</v>
      </c>
      <c r="H361" t="s">
        <v>91</v>
      </c>
    </row>
    <row r="362" spans="1:8" ht="63.75">
      <c r="A362" t="str">
        <f>MID(B:B,1,9)</f>
        <v>AGS100053</v>
      </c>
      <c r="B362" s="13" t="s">
        <v>34</v>
      </c>
      <c r="C362" s="12">
        <v>150</v>
      </c>
      <c r="D362" s="15">
        <v>16</v>
      </c>
      <c r="E362" s="16">
        <f t="shared" si="11"/>
        <v>2400</v>
      </c>
      <c r="H362" t="s">
        <v>120</v>
      </c>
    </row>
    <row r="363" spans="1:8" ht="51">
      <c r="A363" t="str">
        <f>MID(B:B,1,9)</f>
        <v>AGS100100</v>
      </c>
      <c r="B363" s="11" t="s">
        <v>62</v>
      </c>
      <c r="C363" s="12">
        <v>1</v>
      </c>
      <c r="D363" s="15">
        <v>17</v>
      </c>
      <c r="E363" s="16">
        <f t="shared" si="11"/>
        <v>17</v>
      </c>
      <c r="H363" t="s">
        <v>121</v>
      </c>
    </row>
    <row r="364" spans="1:8" ht="63.75">
      <c r="A364" t="str">
        <f>MID(B:B,1,9)</f>
        <v>AGS100055</v>
      </c>
      <c r="B364" s="13" t="s">
        <v>21</v>
      </c>
      <c r="C364" s="12">
        <v>0</v>
      </c>
      <c r="D364" s="15">
        <v>18</v>
      </c>
      <c r="E364" s="16">
        <f t="shared" si="11"/>
        <v>0</v>
      </c>
      <c r="H364" t="s">
        <v>122</v>
      </c>
    </row>
    <row r="365" spans="1:8" ht="51">
      <c r="A365" t="str">
        <f>MID(B:B,1,9)</f>
        <v>AGS100056</v>
      </c>
      <c r="B365" s="13" t="s">
        <v>22</v>
      </c>
      <c r="C365" s="12">
        <v>0</v>
      </c>
      <c r="D365" s="15">
        <v>19</v>
      </c>
      <c r="E365" s="16">
        <f t="shared" si="11"/>
        <v>0</v>
      </c>
      <c r="H365" t="s">
        <v>92</v>
      </c>
    </row>
    <row r="366" spans="1:8" ht="63.75">
      <c r="A366" t="str">
        <f>MID(B:B,1,9)</f>
        <v>AGS100057</v>
      </c>
      <c r="B366" s="13" t="s">
        <v>35</v>
      </c>
      <c r="C366" s="12">
        <v>1050</v>
      </c>
      <c r="D366" s="15">
        <v>20</v>
      </c>
      <c r="E366" s="16">
        <f t="shared" si="11"/>
        <v>21000</v>
      </c>
      <c r="H366" t="s">
        <v>123</v>
      </c>
    </row>
    <row r="367" spans="1:8" ht="63.75">
      <c r="A367" t="str">
        <f>MID(B:B,1,9)</f>
        <v>AGS100059</v>
      </c>
      <c r="B367" s="13" t="s">
        <v>36</v>
      </c>
      <c r="C367" s="12">
        <v>400</v>
      </c>
      <c r="D367" s="15">
        <v>21</v>
      </c>
      <c r="E367" s="16">
        <f t="shared" si="11"/>
        <v>8400</v>
      </c>
      <c r="H367" t="s">
        <v>93</v>
      </c>
    </row>
    <row r="368" spans="1:8" ht="63.75">
      <c r="A368" t="str">
        <f>MID(B:B,1,9)</f>
        <v>AGS100060</v>
      </c>
      <c r="B368" s="13" t="s">
        <v>37</v>
      </c>
      <c r="C368" s="12">
        <v>200</v>
      </c>
      <c r="D368" s="15">
        <v>22</v>
      </c>
      <c r="E368" s="16">
        <f t="shared" si="11"/>
        <v>4400</v>
      </c>
      <c r="H368" t="s">
        <v>124</v>
      </c>
    </row>
    <row r="369" spans="1:8" ht="51">
      <c r="A369" t="str">
        <f>MID(B:B,1,9)</f>
        <v>AGS100067</v>
      </c>
      <c r="B369" s="13" t="s">
        <v>23</v>
      </c>
      <c r="C369" s="12">
        <v>0</v>
      </c>
      <c r="D369" s="15">
        <v>23</v>
      </c>
      <c r="E369" s="16">
        <f t="shared" si="11"/>
        <v>0</v>
      </c>
      <c r="H369" t="s">
        <v>125</v>
      </c>
    </row>
    <row r="370" spans="1:8" ht="51">
      <c r="A370" t="str">
        <f>MID(B:B,1,9)</f>
        <v>AGS100068</v>
      </c>
      <c r="B370" s="13" t="s">
        <v>63</v>
      </c>
      <c r="C370" s="12">
        <v>200</v>
      </c>
      <c r="D370" s="15">
        <v>24</v>
      </c>
      <c r="E370" s="16">
        <f t="shared" si="11"/>
        <v>4800</v>
      </c>
      <c r="H370" t="s">
        <v>126</v>
      </c>
    </row>
    <row r="371" spans="1:8" ht="25.5">
      <c r="A371" t="str">
        <f>MID(B:B,1,9)</f>
        <v>AGS100092</v>
      </c>
      <c r="B371" s="13" t="s">
        <v>48</v>
      </c>
      <c r="C371" s="12">
        <v>0</v>
      </c>
      <c r="D371" s="15">
        <v>25</v>
      </c>
      <c r="E371" s="16">
        <f t="shared" si="11"/>
        <v>0</v>
      </c>
      <c r="H371" t="s">
        <v>94</v>
      </c>
    </row>
    <row r="372" spans="1:8" ht="51">
      <c r="A372" t="str">
        <f>MID(B:B,1,9)</f>
        <v>AGS100071</v>
      </c>
      <c r="B372" s="13" t="s">
        <v>38</v>
      </c>
      <c r="C372" s="12">
        <v>100</v>
      </c>
      <c r="D372" s="15">
        <v>26</v>
      </c>
      <c r="E372" s="16">
        <f t="shared" si="11"/>
        <v>2600</v>
      </c>
      <c r="H372" t="s">
        <v>95</v>
      </c>
    </row>
    <row r="373" spans="1:8" ht="63.75">
      <c r="A373" t="str">
        <f>MID(B:B,1,9)</f>
        <v>AGS100074</v>
      </c>
      <c r="B373" s="13" t="s">
        <v>39</v>
      </c>
      <c r="C373" s="12">
        <v>350</v>
      </c>
      <c r="D373" s="15">
        <v>27</v>
      </c>
      <c r="E373" s="16">
        <f t="shared" si="11"/>
        <v>9450</v>
      </c>
      <c r="H373" t="s">
        <v>127</v>
      </c>
    </row>
    <row r="374" spans="1:8" ht="51">
      <c r="A374" t="str">
        <f>MID(B:B,1,9)</f>
        <v>AGS100101</v>
      </c>
      <c r="B374" s="11" t="s">
        <v>64</v>
      </c>
      <c r="C374" s="12">
        <v>150</v>
      </c>
      <c r="D374" s="15">
        <v>28</v>
      </c>
      <c r="E374" s="16">
        <f t="shared" si="11"/>
        <v>4200</v>
      </c>
      <c r="H374" t="s">
        <v>96</v>
      </c>
    </row>
    <row r="375" spans="1:8" ht="51">
      <c r="A375" t="str">
        <f>MID(B:B,1,9)</f>
        <v>AGS100075</v>
      </c>
      <c r="B375" s="13" t="s">
        <v>24</v>
      </c>
      <c r="C375" s="12">
        <v>0</v>
      </c>
      <c r="D375" s="15">
        <v>29</v>
      </c>
      <c r="E375" s="16">
        <f t="shared" si="11"/>
        <v>0</v>
      </c>
      <c r="H375" t="s">
        <v>97</v>
      </c>
    </row>
    <row r="376" spans="1:8" ht="51">
      <c r="A376" t="str">
        <f>MID(B:B,1,9)</f>
        <v>AGS100073</v>
      </c>
      <c r="B376" s="13" t="s">
        <v>26</v>
      </c>
      <c r="C376" s="12">
        <v>0</v>
      </c>
      <c r="D376" s="15">
        <v>30</v>
      </c>
      <c r="E376" s="16">
        <f t="shared" si="11"/>
        <v>0</v>
      </c>
      <c r="H376" t="s">
        <v>98</v>
      </c>
    </row>
    <row r="377" spans="1:8" ht="51">
      <c r="A377" t="str">
        <f>MID(B:B,1,9)</f>
        <v>AGS100102</v>
      </c>
      <c r="B377" s="11" t="s">
        <v>65</v>
      </c>
      <c r="C377" s="12">
        <v>1200</v>
      </c>
      <c r="D377" s="15">
        <v>31</v>
      </c>
      <c r="E377" s="16">
        <f t="shared" si="11"/>
        <v>37200</v>
      </c>
      <c r="H377" t="s">
        <v>128</v>
      </c>
    </row>
    <row r="378" spans="1:8" ht="63.75">
      <c r="A378" t="str">
        <f>MID(B:B,1,9)</f>
        <v>AGS100077</v>
      </c>
      <c r="B378" s="13" t="s">
        <v>28</v>
      </c>
      <c r="C378" s="12">
        <v>0</v>
      </c>
      <c r="D378" s="15">
        <v>32</v>
      </c>
      <c r="E378" s="16">
        <f t="shared" si="11"/>
        <v>0</v>
      </c>
      <c r="H378" t="s">
        <v>41</v>
      </c>
    </row>
    <row r="379" spans="1:8" ht="63.75">
      <c r="A379" t="str">
        <f>MID(B:B,1,9)</f>
        <v>AGS100093</v>
      </c>
      <c r="B379" s="11" t="s">
        <v>49</v>
      </c>
      <c r="C379" s="12">
        <v>0</v>
      </c>
      <c r="D379" s="15">
        <v>33</v>
      </c>
      <c r="E379" s="16">
        <f t="shared" si="11"/>
        <v>0</v>
      </c>
      <c r="H379" t="s">
        <v>71</v>
      </c>
    </row>
    <row r="380" spans="1:8" ht="63.75">
      <c r="A380" t="str">
        <f>MID(B:B,1,9)</f>
        <v>AGS100080</v>
      </c>
      <c r="B380" s="13" t="s">
        <v>29</v>
      </c>
      <c r="C380" s="12">
        <v>0</v>
      </c>
      <c r="D380" s="15">
        <v>34</v>
      </c>
      <c r="E380" s="16">
        <f t="shared" si="11"/>
        <v>0</v>
      </c>
      <c r="H380" t="s">
        <v>72</v>
      </c>
    </row>
    <row r="381" spans="1:8" ht="51">
      <c r="A381" t="str">
        <f>MID(B:B,1,9)</f>
        <v>AGS100103</v>
      </c>
      <c r="B381" s="11" t="s">
        <v>66</v>
      </c>
      <c r="C381" s="12">
        <v>200</v>
      </c>
      <c r="D381" s="15">
        <v>35</v>
      </c>
      <c r="E381" s="16">
        <f t="shared" si="11"/>
        <v>7000</v>
      </c>
      <c r="H381" t="s">
        <v>73</v>
      </c>
    </row>
    <row r="382" spans="1:8">
      <c r="A382" t="str">
        <f>MID(B:B,1,9)</f>
        <v>INGRESOS</v>
      </c>
      <c r="B382" s="9" t="s">
        <v>41</v>
      </c>
      <c r="C382" s="10"/>
      <c r="D382" s="15" t="s">
        <v>69</v>
      </c>
      <c r="E382" t="s">
        <v>70</v>
      </c>
      <c r="H382" t="s">
        <v>74</v>
      </c>
    </row>
    <row r="383" spans="1:8" ht="51">
      <c r="A383" t="str">
        <f>MID(B:B,1,9)</f>
        <v>AGS100090</v>
      </c>
      <c r="B383" s="11" t="s">
        <v>43</v>
      </c>
      <c r="C383" s="12">
        <v>200</v>
      </c>
      <c r="D383" s="15">
        <v>7.0000000000000007E-2</v>
      </c>
      <c r="E383" s="16">
        <f>C383*D383</f>
        <v>14.000000000000002</v>
      </c>
      <c r="H383" t="s">
        <v>75</v>
      </c>
    </row>
    <row r="384" spans="1:8" ht="63.75">
      <c r="A384" t="str">
        <f>MID(B:B,1,9)</f>
        <v>AGS100010</v>
      </c>
      <c r="B384" s="13" t="s">
        <v>0</v>
      </c>
      <c r="C384" s="12">
        <v>4350</v>
      </c>
      <c r="D384" s="15">
        <v>0</v>
      </c>
      <c r="E384" s="16">
        <f>C384*D384</f>
        <v>0</v>
      </c>
      <c r="H384" t="s">
        <v>76</v>
      </c>
    </row>
    <row r="385" spans="1:8" ht="63.75">
      <c r="A385" t="str">
        <f>MID(B:B,1,9)</f>
        <v>AGS100091</v>
      </c>
      <c r="B385" s="11" t="s">
        <v>44</v>
      </c>
      <c r="C385" s="12">
        <v>1200</v>
      </c>
      <c r="D385" s="15">
        <v>0</v>
      </c>
      <c r="E385" s="16">
        <f t="shared" ref="E385:E410" si="12">C385*D385</f>
        <v>0</v>
      </c>
      <c r="H385" t="s">
        <v>77</v>
      </c>
    </row>
    <row r="386" spans="1:8" ht="63.75">
      <c r="A386" t="str">
        <f>MID(B:B,1,9)</f>
        <v>AGS100015</v>
      </c>
      <c r="B386" s="13" t="s">
        <v>3</v>
      </c>
      <c r="C386" s="12">
        <v>4950</v>
      </c>
      <c r="D386" s="15">
        <v>0</v>
      </c>
      <c r="E386" s="16">
        <f t="shared" si="12"/>
        <v>0</v>
      </c>
      <c r="H386" t="s">
        <v>78</v>
      </c>
    </row>
    <row r="387" spans="1:8" ht="63.75">
      <c r="A387" t="str">
        <f>MID(B:B,1,9)</f>
        <v>AGS100017</v>
      </c>
      <c r="B387" s="13" t="s">
        <v>4</v>
      </c>
      <c r="C387" s="12">
        <v>5750</v>
      </c>
      <c r="D387" s="15">
        <v>0</v>
      </c>
      <c r="E387" s="16">
        <f t="shared" si="12"/>
        <v>0</v>
      </c>
      <c r="H387" t="s">
        <v>79</v>
      </c>
    </row>
    <row r="388" spans="1:8" ht="51">
      <c r="A388" t="str">
        <f>MID(B:B,1,9)</f>
        <v>AGS100020</v>
      </c>
      <c r="B388" s="13" t="s">
        <v>5</v>
      </c>
      <c r="C388" s="12">
        <v>10625</v>
      </c>
      <c r="D388" s="15">
        <v>0</v>
      </c>
      <c r="E388" s="16">
        <f t="shared" si="12"/>
        <v>0</v>
      </c>
      <c r="H388" t="s">
        <v>80</v>
      </c>
    </row>
    <row r="389" spans="1:8" ht="38.25">
      <c r="A389" t="str">
        <f>MID(B:B,1,9)</f>
        <v>AGS100025</v>
      </c>
      <c r="B389" s="13" t="s">
        <v>45</v>
      </c>
      <c r="C389" s="12">
        <v>3900</v>
      </c>
      <c r="D389" s="15">
        <v>0</v>
      </c>
      <c r="E389" s="16">
        <f t="shared" si="12"/>
        <v>0</v>
      </c>
      <c r="H389" t="s">
        <v>81</v>
      </c>
    </row>
    <row r="390" spans="1:8" ht="51">
      <c r="A390" t="str">
        <f>MID(B:B,1,9)</f>
        <v>AGS100027</v>
      </c>
      <c r="B390" s="13" t="s">
        <v>46</v>
      </c>
      <c r="C390" s="12">
        <v>4900</v>
      </c>
      <c r="D390" s="15">
        <v>0</v>
      </c>
      <c r="E390" s="16">
        <f t="shared" si="12"/>
        <v>0</v>
      </c>
      <c r="H390" t="s">
        <v>82</v>
      </c>
    </row>
    <row r="391" spans="1:8" ht="63.75">
      <c r="A391" t="str">
        <f>MID(B:B,1,9)</f>
        <v>AGS100031</v>
      </c>
      <c r="B391" s="13" t="s">
        <v>7</v>
      </c>
      <c r="C391" s="12">
        <v>6525</v>
      </c>
      <c r="D391" s="15">
        <v>0</v>
      </c>
      <c r="E391" s="16">
        <f t="shared" si="12"/>
        <v>0</v>
      </c>
      <c r="H391" t="s">
        <v>83</v>
      </c>
    </row>
    <row r="392" spans="1:8" ht="63.75">
      <c r="A392" t="str">
        <f>MID(B:B,1,9)</f>
        <v>AGS100033</v>
      </c>
      <c r="B392" s="13" t="s">
        <v>8</v>
      </c>
      <c r="C392" s="12">
        <v>3850</v>
      </c>
      <c r="D392" s="15">
        <v>0</v>
      </c>
      <c r="E392" s="16">
        <f t="shared" si="12"/>
        <v>0</v>
      </c>
      <c r="H392" t="s">
        <v>84</v>
      </c>
    </row>
    <row r="393" spans="1:8" ht="51">
      <c r="A393" t="str">
        <f>MID(B:B,1,9)</f>
        <v>AGS100037</v>
      </c>
      <c r="B393" s="13" t="s">
        <v>10</v>
      </c>
      <c r="C393" s="12">
        <v>7600</v>
      </c>
      <c r="D393" s="15">
        <v>0</v>
      </c>
      <c r="E393" s="16">
        <f t="shared" si="12"/>
        <v>0</v>
      </c>
      <c r="H393" t="s">
        <v>85</v>
      </c>
    </row>
    <row r="394" spans="1:8" ht="63.75">
      <c r="A394" t="str">
        <f>MID(B:B,1,9)</f>
        <v>AGS100041</v>
      </c>
      <c r="B394" s="13" t="s">
        <v>11</v>
      </c>
      <c r="C394" s="12">
        <v>5250</v>
      </c>
      <c r="D394" s="15">
        <v>0</v>
      </c>
      <c r="E394" s="16">
        <f t="shared" si="12"/>
        <v>0</v>
      </c>
      <c r="H394" t="s">
        <v>86</v>
      </c>
    </row>
    <row r="395" spans="1:8" ht="63.75">
      <c r="A395" t="str">
        <f>MID(B:B,1,9)</f>
        <v>AGS100042</v>
      </c>
      <c r="B395" s="13" t="s">
        <v>12</v>
      </c>
      <c r="C395" s="12">
        <v>3400</v>
      </c>
      <c r="D395" s="15">
        <v>0</v>
      </c>
      <c r="E395" s="16">
        <f t="shared" si="12"/>
        <v>0</v>
      </c>
      <c r="H395" t="s">
        <v>87</v>
      </c>
    </row>
    <row r="396" spans="1:8" ht="51">
      <c r="A396" t="str">
        <f>MID(B:B,1,9)</f>
        <v>AGS100043</v>
      </c>
      <c r="B396" s="13" t="s">
        <v>47</v>
      </c>
      <c r="C396" s="12">
        <v>6750</v>
      </c>
      <c r="D396" s="15">
        <v>0</v>
      </c>
      <c r="E396" s="16">
        <f t="shared" si="12"/>
        <v>0</v>
      </c>
      <c r="H396" t="s">
        <v>88</v>
      </c>
    </row>
    <row r="397" spans="1:8" ht="63.75">
      <c r="A397" t="str">
        <f>MID(B:B,1,9)</f>
        <v>AGS100044</v>
      </c>
      <c r="B397" s="13" t="s">
        <v>14</v>
      </c>
      <c r="C397" s="12">
        <v>6130</v>
      </c>
      <c r="D397" s="15">
        <v>0</v>
      </c>
      <c r="E397" s="16">
        <f t="shared" si="12"/>
        <v>0</v>
      </c>
      <c r="H397" t="s">
        <v>89</v>
      </c>
    </row>
    <row r="398" spans="1:8" ht="63.75">
      <c r="A398" t="str">
        <f>MID(B:B,1,9)</f>
        <v>AGS100045</v>
      </c>
      <c r="B398" s="13" t="s">
        <v>15</v>
      </c>
      <c r="C398" s="12">
        <v>1175</v>
      </c>
      <c r="D398" s="15">
        <v>0</v>
      </c>
      <c r="E398" s="16">
        <f t="shared" si="12"/>
        <v>0</v>
      </c>
      <c r="H398" t="s">
        <v>90</v>
      </c>
    </row>
    <row r="399" spans="1:8" ht="63.75">
      <c r="A399" t="str">
        <f>MID(B:B,1,9)</f>
        <v>AGS100047</v>
      </c>
      <c r="B399" s="13" t="s">
        <v>17</v>
      </c>
      <c r="C399" s="12">
        <v>950</v>
      </c>
      <c r="D399" s="15">
        <v>0</v>
      </c>
      <c r="E399" s="16">
        <f>C399*D399</f>
        <v>0</v>
      </c>
      <c r="H399" t="s">
        <v>91</v>
      </c>
    </row>
    <row r="400" spans="1:8" ht="51">
      <c r="A400" t="str">
        <f>MID(B:B,1,9)</f>
        <v>AGS100049</v>
      </c>
      <c r="B400" s="13" t="s">
        <v>19</v>
      </c>
      <c r="C400" s="12">
        <v>6175</v>
      </c>
      <c r="D400" s="15">
        <v>0</v>
      </c>
      <c r="E400" s="16">
        <f t="shared" si="12"/>
        <v>0</v>
      </c>
      <c r="H400" t="s">
        <v>92</v>
      </c>
    </row>
    <row r="401" spans="1:8" ht="63.75">
      <c r="A401" t="str">
        <f>MID(B:B,1,9)</f>
        <v>AGS100051</v>
      </c>
      <c r="B401" s="13" t="s">
        <v>20</v>
      </c>
      <c r="C401" s="12">
        <v>2300</v>
      </c>
      <c r="D401" s="15">
        <v>0</v>
      </c>
      <c r="E401" s="16">
        <f t="shared" si="12"/>
        <v>0</v>
      </c>
      <c r="H401" t="s">
        <v>93</v>
      </c>
    </row>
    <row r="402" spans="1:8" ht="63.75">
      <c r="A402" t="str">
        <f>MID(B:B,1,9)</f>
        <v>AGS100055</v>
      </c>
      <c r="B402" s="13" t="s">
        <v>21</v>
      </c>
      <c r="C402" s="12">
        <v>2300</v>
      </c>
      <c r="D402" s="15">
        <v>0</v>
      </c>
      <c r="E402" s="16">
        <f t="shared" si="12"/>
        <v>0</v>
      </c>
      <c r="H402" t="s">
        <v>94</v>
      </c>
    </row>
    <row r="403" spans="1:8" ht="51">
      <c r="A403" t="str">
        <f>MID(B:B,1,9)</f>
        <v>AGS100056</v>
      </c>
      <c r="B403" s="13" t="s">
        <v>22</v>
      </c>
      <c r="C403" s="12">
        <v>9450</v>
      </c>
      <c r="D403" s="15">
        <v>0</v>
      </c>
      <c r="E403" s="16">
        <f t="shared" si="12"/>
        <v>0</v>
      </c>
      <c r="H403" t="s">
        <v>95</v>
      </c>
    </row>
    <row r="404" spans="1:8" ht="51">
      <c r="A404" t="str">
        <f>MID(B:B,1,9)</f>
        <v>AGS100067</v>
      </c>
      <c r="B404" s="13" t="s">
        <v>23</v>
      </c>
      <c r="C404" s="12">
        <v>3525</v>
      </c>
      <c r="D404" s="15">
        <v>0</v>
      </c>
      <c r="E404" s="16">
        <f t="shared" si="12"/>
        <v>0</v>
      </c>
      <c r="H404" t="s">
        <v>96</v>
      </c>
    </row>
    <row r="405" spans="1:8" ht="25.5">
      <c r="A405" t="str">
        <f>MID(B:B,1,9)</f>
        <v>AGS100092</v>
      </c>
      <c r="B405" s="11" t="s">
        <v>48</v>
      </c>
      <c r="C405" s="12">
        <v>2000</v>
      </c>
      <c r="D405" s="15">
        <v>0</v>
      </c>
      <c r="E405" s="16">
        <f t="shared" si="12"/>
        <v>0</v>
      </c>
      <c r="H405" t="s">
        <v>97</v>
      </c>
    </row>
    <row r="406" spans="1:8" ht="51">
      <c r="A406" t="str">
        <f>MID(B:B,1,9)</f>
        <v>AGS100075</v>
      </c>
      <c r="B406" s="13" t="s">
        <v>24</v>
      </c>
      <c r="C406" s="12">
        <v>1050</v>
      </c>
      <c r="D406" s="15">
        <v>0</v>
      </c>
      <c r="E406" s="16">
        <f t="shared" si="12"/>
        <v>0</v>
      </c>
      <c r="H406" t="s">
        <v>98</v>
      </c>
    </row>
    <row r="407" spans="1:8" ht="51">
      <c r="A407" t="str">
        <f>MID(B:B,1,9)</f>
        <v>AGS100073</v>
      </c>
      <c r="B407" s="13" t="s">
        <v>26</v>
      </c>
      <c r="C407" s="12">
        <v>6200</v>
      </c>
      <c r="D407" s="15">
        <v>0</v>
      </c>
      <c r="E407" s="16">
        <f t="shared" si="12"/>
        <v>0</v>
      </c>
      <c r="H407" t="s">
        <v>42</v>
      </c>
    </row>
    <row r="408" spans="1:8" ht="63.75">
      <c r="A408" t="str">
        <f>MID(B:B,1,9)</f>
        <v>AGS100077</v>
      </c>
      <c r="B408" s="13" t="s">
        <v>28</v>
      </c>
      <c r="C408" s="12">
        <v>1900</v>
      </c>
      <c r="D408" s="15">
        <v>0</v>
      </c>
      <c r="E408" s="16">
        <f t="shared" si="12"/>
        <v>0</v>
      </c>
      <c r="H408" t="s">
        <v>99</v>
      </c>
    </row>
    <row r="409" spans="1:8" ht="63.75">
      <c r="A409" t="str">
        <f>MID(B:B,1,9)</f>
        <v>AGS100093</v>
      </c>
      <c r="B409" s="11" t="s">
        <v>49</v>
      </c>
      <c r="C409" s="12">
        <v>400</v>
      </c>
      <c r="D409" s="15">
        <v>0.1</v>
      </c>
      <c r="E409" s="16">
        <f t="shared" si="12"/>
        <v>40</v>
      </c>
      <c r="H409" t="s">
        <v>100</v>
      </c>
    </row>
    <row r="410" spans="1:8" ht="64.5" thickBot="1">
      <c r="A410" t="str">
        <f>MID(B:B,1,9)</f>
        <v>AGS100080</v>
      </c>
      <c r="B410" s="13" t="s">
        <v>29</v>
      </c>
      <c r="C410" s="12">
        <v>4750</v>
      </c>
      <c r="D410" s="15">
        <v>0</v>
      </c>
      <c r="E410" s="16">
        <f t="shared" si="12"/>
        <v>0</v>
      </c>
      <c r="H410" t="s">
        <v>71</v>
      </c>
    </row>
    <row r="411" spans="1:8" ht="15" thickTop="1">
      <c r="B411" s="10"/>
      <c r="C411" s="14">
        <v>117555</v>
      </c>
      <c r="D411" s="15"/>
      <c r="H411" t="s">
        <v>71</v>
      </c>
    </row>
    <row r="412" spans="1:8">
      <c r="A412" t="str">
        <f>MID(B:B,1,9)</f>
        <v>EGRESOS</v>
      </c>
      <c r="B412" s="9" t="s">
        <v>42</v>
      </c>
      <c r="C412" s="10"/>
      <c r="D412" s="15"/>
      <c r="H412" t="s">
        <v>101</v>
      </c>
    </row>
    <row r="413" spans="1:8" ht="51">
      <c r="A413" t="str">
        <f>MID(B:B,1,9)</f>
        <v>AGS100002</v>
      </c>
      <c r="B413" s="13" t="s">
        <v>1</v>
      </c>
      <c r="C413" s="12">
        <v>100</v>
      </c>
      <c r="D413" s="15" t="s">
        <v>69</v>
      </c>
      <c r="E413" t="s">
        <v>70</v>
      </c>
      <c r="H413" t="s">
        <v>102</v>
      </c>
    </row>
    <row r="414" spans="1:8" ht="63.75">
      <c r="A414" t="str">
        <f>MID(B:B,1,9)</f>
        <v>AGS100004</v>
      </c>
      <c r="B414" s="13" t="s">
        <v>2</v>
      </c>
      <c r="C414" s="12">
        <v>150</v>
      </c>
      <c r="D414" s="15">
        <v>7.0000000000000007E-2</v>
      </c>
      <c r="E414" s="16">
        <f>C414*D414</f>
        <v>10.500000000000002</v>
      </c>
      <c r="H414" t="s">
        <v>102</v>
      </c>
    </row>
    <row r="415" spans="1:8" ht="51">
      <c r="A415" t="str">
        <f>MID(B:B,1,9)</f>
        <v>AGS100090</v>
      </c>
      <c r="B415" s="13" t="s">
        <v>43</v>
      </c>
      <c r="C415" s="12">
        <v>200</v>
      </c>
      <c r="D415" s="15">
        <v>0</v>
      </c>
      <c r="E415" s="16">
        <f>C415*D415</f>
        <v>0</v>
      </c>
      <c r="H415" t="s">
        <v>72</v>
      </c>
    </row>
    <row r="416" spans="1:8" ht="51">
      <c r="A416" t="str">
        <f>MID(B:B,1,9)</f>
        <v>AGS100090</v>
      </c>
      <c r="B416" s="13" t="s">
        <v>50</v>
      </c>
      <c r="C416" s="12">
        <v>100</v>
      </c>
      <c r="D416" s="15">
        <v>0</v>
      </c>
      <c r="E416" s="16">
        <f t="shared" ref="E416:E429" si="13">C416*D416</f>
        <v>0</v>
      </c>
      <c r="H416" t="s">
        <v>103</v>
      </c>
    </row>
    <row r="417" spans="1:8" ht="51">
      <c r="A417" t="str">
        <f>MID(B:B,1,9)</f>
        <v>AGS100005</v>
      </c>
      <c r="B417" s="13" t="s">
        <v>6</v>
      </c>
      <c r="C417" s="12">
        <v>725</v>
      </c>
      <c r="D417" s="15">
        <v>0</v>
      </c>
      <c r="E417" s="16">
        <f t="shared" si="13"/>
        <v>0</v>
      </c>
      <c r="H417" t="s">
        <v>73</v>
      </c>
    </row>
    <row r="418" spans="1:8" ht="63.75">
      <c r="A418" t="str">
        <f>MID(B:B,1,9)</f>
        <v>AGS100094</v>
      </c>
      <c r="B418" s="13" t="s">
        <v>51</v>
      </c>
      <c r="C418" s="12">
        <v>100</v>
      </c>
      <c r="D418" s="15">
        <v>0</v>
      </c>
      <c r="E418" s="16">
        <f t="shared" si="13"/>
        <v>0</v>
      </c>
      <c r="H418" t="s">
        <v>74</v>
      </c>
    </row>
    <row r="419" spans="1:8" ht="51">
      <c r="A419" t="str">
        <f>MID(B:B,1,9)</f>
        <v>AGS100094</v>
      </c>
      <c r="B419" s="11" t="s">
        <v>52</v>
      </c>
      <c r="C419" s="12">
        <v>650</v>
      </c>
      <c r="D419" s="15">
        <v>0</v>
      </c>
      <c r="E419" s="16">
        <f t="shared" si="13"/>
        <v>0</v>
      </c>
      <c r="H419" t="s">
        <v>74</v>
      </c>
    </row>
    <row r="420" spans="1:8" ht="63.75">
      <c r="A420" t="str">
        <f>MID(B:B,1,9)</f>
        <v>AGS100010</v>
      </c>
      <c r="B420" s="13" t="s">
        <v>0</v>
      </c>
      <c r="C420" s="12">
        <v>0</v>
      </c>
      <c r="D420" s="15">
        <v>0</v>
      </c>
      <c r="E420" s="16">
        <f t="shared" si="13"/>
        <v>0</v>
      </c>
      <c r="H420" t="s">
        <v>75</v>
      </c>
    </row>
    <row r="421" spans="1:8" ht="76.5">
      <c r="A421" t="str">
        <f>MID(B:B,1,9)</f>
        <v>AGS100013</v>
      </c>
      <c r="B421" s="13" t="s">
        <v>9</v>
      </c>
      <c r="C421" s="12">
        <v>500</v>
      </c>
      <c r="D421" s="15">
        <v>0</v>
      </c>
      <c r="E421" s="16">
        <f t="shared" si="13"/>
        <v>0</v>
      </c>
      <c r="H421" t="s">
        <v>76</v>
      </c>
    </row>
    <row r="422" spans="1:8" ht="63.75">
      <c r="A422" t="str">
        <f>MID(B:B,1,9)</f>
        <v>AGS100091</v>
      </c>
      <c r="B422" s="13" t="s">
        <v>44</v>
      </c>
      <c r="C422" s="12">
        <v>0</v>
      </c>
      <c r="D422" s="15">
        <v>0</v>
      </c>
      <c r="E422" s="16">
        <f t="shared" si="13"/>
        <v>0</v>
      </c>
      <c r="H422" t="s">
        <v>104</v>
      </c>
    </row>
    <row r="423" spans="1:8" ht="63.75">
      <c r="A423" t="str">
        <f>MID(B:B,1,9)</f>
        <v>AGS100015</v>
      </c>
      <c r="B423" s="13" t="s">
        <v>3</v>
      </c>
      <c r="C423" s="12">
        <v>0</v>
      </c>
      <c r="D423" s="15">
        <v>0</v>
      </c>
      <c r="E423" s="16">
        <f t="shared" si="13"/>
        <v>0</v>
      </c>
      <c r="H423" t="s">
        <v>104</v>
      </c>
    </row>
    <row r="424" spans="1:8" ht="51">
      <c r="A424" t="str">
        <f>MID(B:B,1,9)</f>
        <v>AGS100015</v>
      </c>
      <c r="B424" s="13" t="s">
        <v>13</v>
      </c>
      <c r="C424" s="12">
        <v>200</v>
      </c>
      <c r="D424" s="15">
        <v>0</v>
      </c>
      <c r="E424" s="16">
        <f t="shared" si="13"/>
        <v>0</v>
      </c>
      <c r="H424" t="s">
        <v>105</v>
      </c>
    </row>
    <row r="425" spans="1:8" ht="63.75">
      <c r="A425" t="str">
        <f>MID(B:B,1,9)</f>
        <v>AGS100017</v>
      </c>
      <c r="B425" s="13" t="s">
        <v>4</v>
      </c>
      <c r="C425" s="12">
        <v>0</v>
      </c>
      <c r="D425" s="15">
        <v>0</v>
      </c>
      <c r="E425" s="16">
        <f t="shared" si="13"/>
        <v>0</v>
      </c>
      <c r="H425" t="s">
        <v>105</v>
      </c>
    </row>
    <row r="426" spans="1:8" ht="51">
      <c r="A426" t="str">
        <f>MID(B:B,1,9)</f>
        <v>AGS100020</v>
      </c>
      <c r="B426" s="13" t="s">
        <v>5</v>
      </c>
      <c r="C426" s="12">
        <v>0</v>
      </c>
      <c r="D426" s="15">
        <v>0</v>
      </c>
      <c r="E426" s="16">
        <f t="shared" si="13"/>
        <v>0</v>
      </c>
      <c r="H426" t="s">
        <v>106</v>
      </c>
    </row>
    <row r="427" spans="1:8" ht="51">
      <c r="A427" t="str">
        <f>MID(B:B,1,9)</f>
        <v>AGS100021</v>
      </c>
      <c r="B427" s="13" t="s">
        <v>16</v>
      </c>
      <c r="C427" s="12">
        <v>400</v>
      </c>
      <c r="D427" s="15">
        <v>0</v>
      </c>
      <c r="E427" s="16">
        <f t="shared" si="13"/>
        <v>0</v>
      </c>
      <c r="H427" t="s">
        <v>77</v>
      </c>
    </row>
    <row r="428" spans="1:8" ht="38.25">
      <c r="A428" t="str">
        <f>MID(B:B,1,9)</f>
        <v>AGS100021</v>
      </c>
      <c r="B428" s="13" t="s">
        <v>18</v>
      </c>
      <c r="C428" s="12">
        <v>150</v>
      </c>
      <c r="D428" s="15">
        <v>0</v>
      </c>
      <c r="E428" s="16">
        <f t="shared" si="13"/>
        <v>0</v>
      </c>
      <c r="H428" t="s">
        <v>107</v>
      </c>
    </row>
    <row r="429" spans="1:8" ht="63.75">
      <c r="A429" t="str">
        <f>MID(B:B,1,9)</f>
        <v>AGS100095</v>
      </c>
      <c r="B429" s="11" t="s">
        <v>53</v>
      </c>
      <c r="C429" s="12">
        <v>300</v>
      </c>
      <c r="D429" s="15">
        <v>0</v>
      </c>
      <c r="E429" s="16">
        <f t="shared" si="13"/>
        <v>0</v>
      </c>
      <c r="H429" t="s">
        <v>78</v>
      </c>
    </row>
    <row r="430" spans="1:8" ht="63.75">
      <c r="A430" t="str">
        <f>MID(B:B,1,9)</f>
        <v>AGS100095</v>
      </c>
      <c r="B430" s="13" t="s">
        <v>54</v>
      </c>
      <c r="C430" s="12">
        <v>605</v>
      </c>
      <c r="D430" s="15">
        <v>0</v>
      </c>
      <c r="E430" s="16">
        <f>C430*D430</f>
        <v>0</v>
      </c>
      <c r="H430" t="s">
        <v>108</v>
      </c>
    </row>
    <row r="431" spans="1:8" ht="63.75">
      <c r="A431" t="str">
        <f>MID(B:B,1,9)</f>
        <v>AGS100096</v>
      </c>
      <c r="B431" s="11" t="s">
        <v>55</v>
      </c>
      <c r="C431" s="12">
        <v>1</v>
      </c>
      <c r="D431" s="15">
        <v>0</v>
      </c>
      <c r="E431" s="16">
        <f t="shared" ref="E431:E476" si="14">C431*D431</f>
        <v>0</v>
      </c>
      <c r="H431" t="s">
        <v>109</v>
      </c>
    </row>
    <row r="432" spans="1:8" ht="38.25">
      <c r="A432" t="str">
        <f>MID(B:B,1,9)</f>
        <v>AGS100025</v>
      </c>
      <c r="B432" s="13" t="s">
        <v>45</v>
      </c>
      <c r="C432" s="12">
        <v>0</v>
      </c>
      <c r="D432" s="15">
        <v>0</v>
      </c>
      <c r="E432" s="16">
        <f t="shared" si="14"/>
        <v>0</v>
      </c>
      <c r="H432" t="s">
        <v>110</v>
      </c>
    </row>
    <row r="433" spans="1:8" ht="25.5">
      <c r="A433" t="str">
        <f>MID(B:B,1,9)</f>
        <v>AGS100097</v>
      </c>
      <c r="B433" s="11" t="s">
        <v>56</v>
      </c>
      <c r="C433" s="12">
        <v>105573</v>
      </c>
      <c r="D433" s="15">
        <v>0</v>
      </c>
      <c r="E433" s="16">
        <f t="shared" si="14"/>
        <v>0</v>
      </c>
      <c r="H433" t="s">
        <v>111</v>
      </c>
    </row>
    <row r="434" spans="1:8" ht="51">
      <c r="A434" t="str">
        <f>MID(B:B,1,9)</f>
        <v>AGS100027</v>
      </c>
      <c r="B434" s="13" t="s">
        <v>46</v>
      </c>
      <c r="C434" s="12">
        <v>0</v>
      </c>
      <c r="D434" s="15">
        <v>0</v>
      </c>
      <c r="E434" s="16">
        <f t="shared" si="14"/>
        <v>0</v>
      </c>
      <c r="H434" t="s">
        <v>79</v>
      </c>
    </row>
    <row r="435" spans="1:8" ht="76.5">
      <c r="A435" t="str">
        <f>MID(B:B,1,9)</f>
        <v>AGS100028</v>
      </c>
      <c r="B435" s="13" t="s">
        <v>40</v>
      </c>
      <c r="C435" s="12">
        <v>150</v>
      </c>
      <c r="D435" s="15">
        <v>0</v>
      </c>
      <c r="E435" s="16">
        <f t="shared" si="14"/>
        <v>0</v>
      </c>
      <c r="H435" t="s">
        <v>112</v>
      </c>
    </row>
    <row r="436" spans="1:8" ht="63.75">
      <c r="A436" t="str">
        <f>MID(B:B,1,9)</f>
        <v>AGS100029</v>
      </c>
      <c r="B436" s="13" t="s">
        <v>25</v>
      </c>
      <c r="C436" s="12">
        <v>350</v>
      </c>
      <c r="D436" s="15">
        <v>0</v>
      </c>
      <c r="E436" s="16">
        <f t="shared" si="14"/>
        <v>0</v>
      </c>
      <c r="H436" t="s">
        <v>80</v>
      </c>
    </row>
    <row r="437" spans="1:8" ht="63.75">
      <c r="A437" t="str">
        <f>MID(B:B,1,9)</f>
        <v>AGS100030</v>
      </c>
      <c r="B437" s="13" t="s">
        <v>27</v>
      </c>
      <c r="C437" s="12">
        <v>100</v>
      </c>
      <c r="D437" s="15">
        <v>0</v>
      </c>
      <c r="E437" s="16">
        <f t="shared" si="14"/>
        <v>0</v>
      </c>
      <c r="H437" t="s">
        <v>113</v>
      </c>
    </row>
    <row r="438" spans="1:8" ht="63.75">
      <c r="A438" t="str">
        <f>MID(B:B,1,9)</f>
        <v>AGS100098</v>
      </c>
      <c r="B438" s="11" t="s">
        <v>57</v>
      </c>
      <c r="C438" s="12">
        <v>150</v>
      </c>
      <c r="D438" s="15">
        <v>0</v>
      </c>
      <c r="E438" s="16">
        <f t="shared" si="14"/>
        <v>0</v>
      </c>
      <c r="H438" t="s">
        <v>113</v>
      </c>
    </row>
    <row r="439" spans="1:8" ht="63.75">
      <c r="A439" t="str">
        <f>MID(B:B,1,9)</f>
        <v>AGS100031</v>
      </c>
      <c r="B439" s="13" t="s">
        <v>7</v>
      </c>
      <c r="C439" s="12">
        <v>0</v>
      </c>
      <c r="D439" s="15">
        <v>0</v>
      </c>
      <c r="E439" s="16">
        <f t="shared" si="14"/>
        <v>0</v>
      </c>
      <c r="H439" t="s">
        <v>81</v>
      </c>
    </row>
    <row r="440" spans="1:8" ht="63.75">
      <c r="A440" t="str">
        <f>MID(B:B,1,9)</f>
        <v>AGS100032</v>
      </c>
      <c r="B440" s="13" t="s">
        <v>30</v>
      </c>
      <c r="C440" s="12">
        <v>500</v>
      </c>
      <c r="D440" s="15">
        <v>0.1</v>
      </c>
      <c r="E440" s="16">
        <f t="shared" si="14"/>
        <v>50</v>
      </c>
      <c r="H440" t="s">
        <v>82</v>
      </c>
    </row>
    <row r="441" spans="1:8" ht="63.75">
      <c r="A441" t="str">
        <f>MID(B:B,1,9)</f>
        <v>AGS100033</v>
      </c>
      <c r="B441" s="13" t="s">
        <v>8</v>
      </c>
      <c r="C441" s="12">
        <v>0</v>
      </c>
      <c r="D441" s="15">
        <v>0</v>
      </c>
      <c r="E441" s="16">
        <f t="shared" si="14"/>
        <v>0</v>
      </c>
      <c r="H441" t="s">
        <v>83</v>
      </c>
    </row>
    <row r="442" spans="1:8" ht="51">
      <c r="A442" t="str">
        <f>MID(B:B,1,9)</f>
        <v>AGS100036</v>
      </c>
      <c r="B442" s="13" t="s">
        <v>58</v>
      </c>
      <c r="C442" s="12">
        <v>200</v>
      </c>
      <c r="D442" s="15">
        <v>1</v>
      </c>
      <c r="E442" s="16">
        <f t="shared" si="14"/>
        <v>200</v>
      </c>
      <c r="H442" t="s">
        <v>114</v>
      </c>
    </row>
    <row r="443" spans="1:8" ht="51">
      <c r="A443" t="str">
        <f>MID(B:B,1,9)</f>
        <v>AGS100036</v>
      </c>
      <c r="B443" s="13" t="s">
        <v>59</v>
      </c>
      <c r="C443" s="12">
        <v>350</v>
      </c>
      <c r="D443" s="15">
        <v>2</v>
      </c>
      <c r="E443" s="16">
        <f t="shared" si="14"/>
        <v>700</v>
      </c>
      <c r="H443" t="s">
        <v>85</v>
      </c>
    </row>
    <row r="444" spans="1:8" ht="51">
      <c r="A444" t="str">
        <f>MID(B:B,1,9)</f>
        <v>AGS100037</v>
      </c>
      <c r="B444" s="13" t="s">
        <v>10</v>
      </c>
      <c r="C444" s="12">
        <v>0</v>
      </c>
      <c r="D444" s="15">
        <v>3</v>
      </c>
      <c r="E444" s="16">
        <f t="shared" si="14"/>
        <v>0</v>
      </c>
      <c r="H444" t="s">
        <v>86</v>
      </c>
    </row>
    <row r="445" spans="1:8" ht="63.75">
      <c r="A445" t="str">
        <f>MID(B:B,1,9)</f>
        <v>AGS100041</v>
      </c>
      <c r="B445" s="13" t="s">
        <v>11</v>
      </c>
      <c r="C445" s="12">
        <v>0</v>
      </c>
      <c r="D445" s="15">
        <v>4</v>
      </c>
      <c r="E445" s="16">
        <f t="shared" si="14"/>
        <v>0</v>
      </c>
      <c r="H445" t="s">
        <v>87</v>
      </c>
    </row>
    <row r="446" spans="1:8" ht="63.75">
      <c r="A446" t="str">
        <f>MID(B:B,1,9)</f>
        <v>AGS100042</v>
      </c>
      <c r="B446" s="13" t="s">
        <v>12</v>
      </c>
      <c r="C446" s="12">
        <v>0</v>
      </c>
      <c r="D446" s="15">
        <v>5</v>
      </c>
      <c r="E446" s="16">
        <f t="shared" si="14"/>
        <v>0</v>
      </c>
      <c r="H446" t="s">
        <v>115</v>
      </c>
    </row>
    <row r="447" spans="1:8" ht="51">
      <c r="A447" t="str">
        <f>MID(B:B,1,9)</f>
        <v>AGS100034</v>
      </c>
      <c r="B447" s="13" t="s">
        <v>60</v>
      </c>
      <c r="C447" s="12">
        <v>0</v>
      </c>
      <c r="D447" s="15">
        <v>6</v>
      </c>
      <c r="E447" s="16">
        <f t="shared" si="14"/>
        <v>0</v>
      </c>
      <c r="H447" t="s">
        <v>88</v>
      </c>
    </row>
    <row r="448" spans="1:8" ht="63.75">
      <c r="A448" t="str">
        <f>MID(B:B,1,9)</f>
        <v>AGS100044</v>
      </c>
      <c r="B448" s="13" t="s">
        <v>14</v>
      </c>
      <c r="C448" s="12">
        <v>0</v>
      </c>
      <c r="D448" s="15">
        <v>7</v>
      </c>
      <c r="E448" s="16">
        <f t="shared" si="14"/>
        <v>0</v>
      </c>
      <c r="H448" t="s">
        <v>116</v>
      </c>
    </row>
    <row r="449" spans="1:8" ht="63.75">
      <c r="A449" t="str">
        <f>MID(B:B,1,9)</f>
        <v>AGS100045</v>
      </c>
      <c r="B449" s="13" t="s">
        <v>15</v>
      </c>
      <c r="C449" s="12">
        <v>0</v>
      </c>
      <c r="D449" s="15">
        <v>8</v>
      </c>
      <c r="E449" s="16">
        <f t="shared" si="14"/>
        <v>0</v>
      </c>
      <c r="H449" t="s">
        <v>89</v>
      </c>
    </row>
    <row r="450" spans="1:8" ht="63.75">
      <c r="A450" t="str">
        <f>MID(B:B,1,9)</f>
        <v>AGS100047</v>
      </c>
      <c r="B450" s="13" t="s">
        <v>17</v>
      </c>
      <c r="C450" s="12">
        <v>0</v>
      </c>
      <c r="D450" s="15">
        <v>9</v>
      </c>
      <c r="E450" s="16">
        <f t="shared" si="14"/>
        <v>0</v>
      </c>
      <c r="H450" t="s">
        <v>117</v>
      </c>
    </row>
    <row r="451" spans="1:8" ht="63.75">
      <c r="A451" t="str">
        <f>MID(B:B,1,9)</f>
        <v>AGS100046</v>
      </c>
      <c r="B451" s="13" t="s">
        <v>31</v>
      </c>
      <c r="C451" s="12">
        <v>400</v>
      </c>
      <c r="D451" s="15">
        <v>10</v>
      </c>
      <c r="E451" s="16">
        <f t="shared" si="14"/>
        <v>4000</v>
      </c>
      <c r="H451" t="s">
        <v>118</v>
      </c>
    </row>
    <row r="452" spans="1:8" ht="51">
      <c r="A452" t="str">
        <f>MID(B:B,1,9)</f>
        <v>AGS100049</v>
      </c>
      <c r="B452" s="13" t="s">
        <v>19</v>
      </c>
      <c r="C452" s="12">
        <v>0</v>
      </c>
      <c r="D452" s="15">
        <v>11</v>
      </c>
      <c r="E452" s="16">
        <f t="shared" si="14"/>
        <v>0</v>
      </c>
      <c r="H452" t="s">
        <v>118</v>
      </c>
    </row>
    <row r="453" spans="1:8" ht="51">
      <c r="A453" t="str">
        <f>MID(B:B,1,9)</f>
        <v>AGS100099</v>
      </c>
      <c r="B453" s="11" t="s">
        <v>61</v>
      </c>
      <c r="C453" s="12">
        <v>700</v>
      </c>
      <c r="D453" s="15">
        <v>12</v>
      </c>
      <c r="E453" s="16">
        <f t="shared" si="14"/>
        <v>8400</v>
      </c>
      <c r="H453" t="s">
        <v>119</v>
      </c>
    </row>
    <row r="454" spans="1:8" ht="63.75">
      <c r="A454" t="str">
        <f>MID(B:B,1,9)</f>
        <v>AGS100051</v>
      </c>
      <c r="B454" s="13" t="s">
        <v>20</v>
      </c>
      <c r="C454" s="12">
        <v>0</v>
      </c>
      <c r="D454" s="15">
        <v>13</v>
      </c>
      <c r="E454" s="16">
        <f t="shared" si="14"/>
        <v>0</v>
      </c>
      <c r="H454" t="s">
        <v>90</v>
      </c>
    </row>
    <row r="455" spans="1:8" ht="51">
      <c r="A455" t="str">
        <f>MID(B:B,1,9)</f>
        <v>AGS1000JU</v>
      </c>
      <c r="B455" s="13" t="s">
        <v>32</v>
      </c>
      <c r="C455" s="12">
        <v>300</v>
      </c>
      <c r="D455" s="15">
        <v>14</v>
      </c>
      <c r="E455" s="16">
        <f t="shared" si="14"/>
        <v>4200</v>
      </c>
      <c r="H455" t="s">
        <v>91</v>
      </c>
    </row>
    <row r="456" spans="1:8" ht="63.75">
      <c r="A456" t="str">
        <f>MID(B:B,1,9)</f>
        <v>AGS100053</v>
      </c>
      <c r="B456" s="13" t="s">
        <v>33</v>
      </c>
      <c r="C456" s="12">
        <v>600</v>
      </c>
      <c r="D456" s="15">
        <v>15</v>
      </c>
      <c r="E456" s="16">
        <f t="shared" si="14"/>
        <v>9000</v>
      </c>
      <c r="H456" t="s">
        <v>120</v>
      </c>
    </row>
    <row r="457" spans="1:8" ht="63.75">
      <c r="A457" t="str">
        <f>MID(B:B,1,9)</f>
        <v>AGS100053</v>
      </c>
      <c r="B457" s="13" t="s">
        <v>34</v>
      </c>
      <c r="C457" s="12">
        <v>150</v>
      </c>
      <c r="D457" s="15">
        <v>16</v>
      </c>
      <c r="E457" s="16">
        <f t="shared" si="14"/>
        <v>2400</v>
      </c>
      <c r="H457" t="s">
        <v>121</v>
      </c>
    </row>
    <row r="458" spans="1:8" ht="51">
      <c r="A458" t="str">
        <f>MID(B:B,1,9)</f>
        <v>AGS100100</v>
      </c>
      <c r="B458" s="11" t="s">
        <v>62</v>
      </c>
      <c r="C458" s="12">
        <v>1</v>
      </c>
      <c r="D458" s="15">
        <v>17</v>
      </c>
      <c r="E458" s="16">
        <f t="shared" si="14"/>
        <v>17</v>
      </c>
      <c r="H458" t="s">
        <v>122</v>
      </c>
    </row>
    <row r="459" spans="1:8" ht="63.75">
      <c r="A459" t="str">
        <f>MID(B:B,1,9)</f>
        <v>AGS100055</v>
      </c>
      <c r="B459" s="13" t="s">
        <v>21</v>
      </c>
      <c r="C459" s="12">
        <v>0</v>
      </c>
      <c r="D459" s="15">
        <v>18</v>
      </c>
      <c r="E459" s="16">
        <f t="shared" si="14"/>
        <v>0</v>
      </c>
      <c r="H459" t="s">
        <v>92</v>
      </c>
    </row>
    <row r="460" spans="1:8" ht="51">
      <c r="A460" t="str">
        <f>MID(B:B,1,9)</f>
        <v>AGS100056</v>
      </c>
      <c r="B460" s="13" t="s">
        <v>22</v>
      </c>
      <c r="C460" s="12">
        <v>0</v>
      </c>
      <c r="D460" s="15">
        <v>19</v>
      </c>
      <c r="E460" s="16">
        <f t="shared" si="14"/>
        <v>0</v>
      </c>
      <c r="H460" t="s">
        <v>123</v>
      </c>
    </row>
    <row r="461" spans="1:8" ht="63.75">
      <c r="A461" t="str">
        <f>MID(B:B,1,9)</f>
        <v>AGS100057</v>
      </c>
      <c r="B461" s="13" t="s">
        <v>35</v>
      </c>
      <c r="C461" s="12">
        <v>1050</v>
      </c>
      <c r="D461" s="15">
        <v>20</v>
      </c>
      <c r="E461" s="16">
        <f t="shared" si="14"/>
        <v>21000</v>
      </c>
      <c r="H461" t="s">
        <v>93</v>
      </c>
    </row>
    <row r="462" spans="1:8" ht="63.75">
      <c r="A462" t="str">
        <f>MID(B:B,1,9)</f>
        <v>AGS100059</v>
      </c>
      <c r="B462" s="13" t="s">
        <v>36</v>
      </c>
      <c r="C462" s="12">
        <v>400</v>
      </c>
      <c r="D462" s="15">
        <v>21</v>
      </c>
      <c r="E462" s="16">
        <f t="shared" si="14"/>
        <v>8400</v>
      </c>
      <c r="H462" t="s">
        <v>124</v>
      </c>
    </row>
    <row r="463" spans="1:8" ht="63.75">
      <c r="A463" t="str">
        <f>MID(B:B,1,9)</f>
        <v>AGS100060</v>
      </c>
      <c r="B463" s="13" t="s">
        <v>37</v>
      </c>
      <c r="C463" s="12">
        <v>200</v>
      </c>
      <c r="D463" s="15">
        <v>22</v>
      </c>
      <c r="E463" s="16">
        <f t="shared" si="14"/>
        <v>4400</v>
      </c>
      <c r="H463" t="s">
        <v>125</v>
      </c>
    </row>
    <row r="464" spans="1:8" ht="51">
      <c r="A464" t="str">
        <f>MID(B:B,1,9)</f>
        <v>AGS100067</v>
      </c>
      <c r="B464" s="13" t="s">
        <v>23</v>
      </c>
      <c r="C464" s="12">
        <v>0</v>
      </c>
      <c r="D464" s="15">
        <v>23</v>
      </c>
      <c r="E464" s="16">
        <f t="shared" si="14"/>
        <v>0</v>
      </c>
      <c r="H464" t="s">
        <v>126</v>
      </c>
    </row>
    <row r="465" spans="1:8" ht="51">
      <c r="A465" t="str">
        <f>MID(B:B,1,9)</f>
        <v>AGS100068</v>
      </c>
      <c r="B465" s="13" t="s">
        <v>63</v>
      </c>
      <c r="C465" s="12">
        <v>200</v>
      </c>
      <c r="D465" s="15">
        <v>24</v>
      </c>
      <c r="E465" s="16">
        <f t="shared" si="14"/>
        <v>4800</v>
      </c>
      <c r="H465" t="s">
        <v>94</v>
      </c>
    </row>
    <row r="466" spans="1:8" ht="25.5">
      <c r="A466" t="str">
        <f>MID(B:B,1,9)</f>
        <v>AGS100092</v>
      </c>
      <c r="B466" s="13" t="s">
        <v>48</v>
      </c>
      <c r="C466" s="12">
        <v>0</v>
      </c>
      <c r="D466" s="15">
        <v>25</v>
      </c>
      <c r="E466" s="16">
        <f t="shared" si="14"/>
        <v>0</v>
      </c>
      <c r="H466" t="s">
        <v>95</v>
      </c>
    </row>
    <row r="467" spans="1:8" ht="51">
      <c r="A467" t="str">
        <f>MID(B:B,1,9)</f>
        <v>AGS100071</v>
      </c>
      <c r="B467" s="13" t="s">
        <v>38</v>
      </c>
      <c r="C467" s="12">
        <v>100</v>
      </c>
      <c r="D467" s="15">
        <v>26</v>
      </c>
      <c r="E467" s="16">
        <f t="shared" si="14"/>
        <v>2600</v>
      </c>
      <c r="H467" t="s">
        <v>127</v>
      </c>
    </row>
    <row r="468" spans="1:8" ht="63.75">
      <c r="A468" t="str">
        <f>MID(B:B,1,9)</f>
        <v>AGS100074</v>
      </c>
      <c r="B468" s="13" t="s">
        <v>39</v>
      </c>
      <c r="C468" s="12">
        <v>350</v>
      </c>
      <c r="D468" s="15">
        <v>27</v>
      </c>
      <c r="E468" s="16">
        <f t="shared" si="14"/>
        <v>9450</v>
      </c>
      <c r="H468" t="s">
        <v>96</v>
      </c>
    </row>
    <row r="469" spans="1:8" ht="51">
      <c r="A469" t="str">
        <f>MID(B:B,1,9)</f>
        <v>AGS100101</v>
      </c>
      <c r="B469" s="11" t="s">
        <v>64</v>
      </c>
      <c r="C469" s="12">
        <v>150</v>
      </c>
      <c r="D469" s="15">
        <v>28</v>
      </c>
      <c r="E469" s="16">
        <f t="shared" si="14"/>
        <v>4200</v>
      </c>
      <c r="H469" t="s">
        <v>97</v>
      </c>
    </row>
    <row r="470" spans="1:8" ht="51">
      <c r="A470" t="str">
        <f>MID(B:B,1,9)</f>
        <v>AGS100075</v>
      </c>
      <c r="B470" s="13" t="s">
        <v>24</v>
      </c>
      <c r="C470" s="12">
        <v>0</v>
      </c>
      <c r="D470" s="15">
        <v>29</v>
      </c>
      <c r="E470" s="16">
        <f t="shared" si="14"/>
        <v>0</v>
      </c>
      <c r="H470" t="s">
        <v>98</v>
      </c>
    </row>
    <row r="471" spans="1:8" ht="51">
      <c r="A471" t="str">
        <f>MID(B:B,1,9)</f>
        <v>AGS100073</v>
      </c>
      <c r="B471" s="13" t="s">
        <v>26</v>
      </c>
      <c r="C471" s="12">
        <v>0</v>
      </c>
      <c r="D471" s="15">
        <v>30</v>
      </c>
      <c r="E471" s="16">
        <f t="shared" si="14"/>
        <v>0</v>
      </c>
      <c r="H471" t="s">
        <v>128</v>
      </c>
    </row>
    <row r="472" spans="1:8" ht="51">
      <c r="A472" t="str">
        <f>MID(B:B,1,9)</f>
        <v>AGS100102</v>
      </c>
      <c r="B472" s="11" t="s">
        <v>65</v>
      </c>
      <c r="C472" s="12">
        <v>1200</v>
      </c>
      <c r="D472" s="15">
        <v>31</v>
      </c>
      <c r="E472" s="16">
        <f t="shared" si="14"/>
        <v>37200</v>
      </c>
      <c r="H472" t="s">
        <v>41</v>
      </c>
    </row>
    <row r="473" spans="1:8" ht="63.75">
      <c r="A473" t="str">
        <f>MID(B:B,1,9)</f>
        <v>AGS100077</v>
      </c>
      <c r="B473" s="13" t="s">
        <v>28</v>
      </c>
      <c r="C473" s="12">
        <v>0</v>
      </c>
      <c r="D473" s="15">
        <v>32</v>
      </c>
      <c r="E473" s="16">
        <f t="shared" si="14"/>
        <v>0</v>
      </c>
      <c r="H473" t="s">
        <v>71</v>
      </c>
    </row>
    <row r="474" spans="1:8" ht="63.75">
      <c r="A474" t="str">
        <f>MID(B:B,1,9)</f>
        <v>AGS100093</v>
      </c>
      <c r="B474" s="11" t="s">
        <v>49</v>
      </c>
      <c r="C474" s="12">
        <v>0</v>
      </c>
      <c r="D474" s="15">
        <v>33</v>
      </c>
      <c r="E474" s="16">
        <f t="shared" si="14"/>
        <v>0</v>
      </c>
      <c r="H474" t="s">
        <v>72</v>
      </c>
    </row>
    <row r="475" spans="1:8" ht="63.75">
      <c r="A475" t="str">
        <f>MID(B:B,1,9)</f>
        <v>AGS100080</v>
      </c>
      <c r="B475" s="13" t="s">
        <v>29</v>
      </c>
      <c r="C475" s="12">
        <v>0</v>
      </c>
      <c r="D475" s="15">
        <v>34</v>
      </c>
      <c r="E475" s="16">
        <f t="shared" si="14"/>
        <v>0</v>
      </c>
      <c r="H475" t="s">
        <v>73</v>
      </c>
    </row>
    <row r="476" spans="1:8" ht="51">
      <c r="A476" t="str">
        <f>MID(B:B,1,9)</f>
        <v>AGS100103</v>
      </c>
      <c r="B476" s="11" t="s">
        <v>66</v>
      </c>
      <c r="C476" s="12">
        <v>200</v>
      </c>
      <c r="D476" s="15">
        <v>35</v>
      </c>
      <c r="E476" s="16">
        <f t="shared" si="14"/>
        <v>7000</v>
      </c>
      <c r="H476" t="s">
        <v>74</v>
      </c>
    </row>
    <row r="477" spans="1:8">
      <c r="A477" t="str">
        <f>MID(B:B,1,9)</f>
        <v>INGRESOS</v>
      </c>
      <c r="B477" s="9" t="s">
        <v>41</v>
      </c>
      <c r="C477" s="10"/>
      <c r="D477" s="15" t="s">
        <v>69</v>
      </c>
      <c r="E477" t="s">
        <v>70</v>
      </c>
      <c r="H477" t="s">
        <v>75</v>
      </c>
    </row>
    <row r="478" spans="1:8" ht="51">
      <c r="A478" t="str">
        <f>MID(B:B,1,9)</f>
        <v>AGS100090</v>
      </c>
      <c r="B478" s="11" t="s">
        <v>43</v>
      </c>
      <c r="C478" s="12">
        <v>200</v>
      </c>
      <c r="D478" s="15">
        <v>7.0000000000000007E-2</v>
      </c>
      <c r="E478" s="16">
        <f>C478*D478</f>
        <v>14.000000000000002</v>
      </c>
      <c r="H478" t="s">
        <v>76</v>
      </c>
    </row>
    <row r="479" spans="1:8" ht="63.75">
      <c r="A479" t="str">
        <f>MID(B:B,1,9)</f>
        <v>AGS100010</v>
      </c>
      <c r="B479" s="13" t="s">
        <v>0</v>
      </c>
      <c r="C479" s="12">
        <v>4350</v>
      </c>
      <c r="D479" s="15">
        <v>0</v>
      </c>
      <c r="E479" s="16">
        <f>C479*D479</f>
        <v>0</v>
      </c>
      <c r="H479" t="s">
        <v>77</v>
      </c>
    </row>
    <row r="480" spans="1:8" ht="63.75">
      <c r="A480" t="str">
        <f>MID(B:B,1,9)</f>
        <v>AGS100091</v>
      </c>
      <c r="B480" s="11" t="s">
        <v>44</v>
      </c>
      <c r="C480" s="12">
        <v>1200</v>
      </c>
      <c r="D480" s="15">
        <v>0</v>
      </c>
      <c r="E480" s="16">
        <f t="shared" ref="E480:E505" si="15">C480*D480</f>
        <v>0</v>
      </c>
      <c r="H480" t="s">
        <v>78</v>
      </c>
    </row>
    <row r="481" spans="1:8" ht="63.75">
      <c r="A481" t="str">
        <f>MID(B:B,1,9)</f>
        <v>AGS100015</v>
      </c>
      <c r="B481" s="13" t="s">
        <v>3</v>
      </c>
      <c r="C481" s="12">
        <v>4950</v>
      </c>
      <c r="D481" s="15">
        <v>0</v>
      </c>
      <c r="E481" s="16">
        <f t="shared" si="15"/>
        <v>0</v>
      </c>
      <c r="H481" t="s">
        <v>79</v>
      </c>
    </row>
    <row r="482" spans="1:8" ht="63.75">
      <c r="A482" t="str">
        <f>MID(B:B,1,9)</f>
        <v>AGS100017</v>
      </c>
      <c r="B482" s="13" t="s">
        <v>4</v>
      </c>
      <c r="C482" s="12">
        <v>5750</v>
      </c>
      <c r="D482" s="15">
        <v>0</v>
      </c>
      <c r="E482" s="16">
        <f t="shared" si="15"/>
        <v>0</v>
      </c>
      <c r="H482" t="s">
        <v>80</v>
      </c>
    </row>
    <row r="483" spans="1:8" ht="51">
      <c r="A483" t="str">
        <f>MID(B:B,1,9)</f>
        <v>AGS100020</v>
      </c>
      <c r="B483" s="13" t="s">
        <v>5</v>
      </c>
      <c r="C483" s="12">
        <v>10625</v>
      </c>
      <c r="D483" s="15">
        <v>0</v>
      </c>
      <c r="E483" s="16">
        <f t="shared" si="15"/>
        <v>0</v>
      </c>
      <c r="H483" t="s">
        <v>81</v>
      </c>
    </row>
    <row r="484" spans="1:8" ht="38.25">
      <c r="A484" t="str">
        <f>MID(B:B,1,9)</f>
        <v>AGS100025</v>
      </c>
      <c r="B484" s="13" t="s">
        <v>45</v>
      </c>
      <c r="C484" s="12">
        <v>3900</v>
      </c>
      <c r="D484" s="15">
        <v>0</v>
      </c>
      <c r="E484" s="16">
        <f t="shared" si="15"/>
        <v>0</v>
      </c>
      <c r="H484" t="s">
        <v>82</v>
      </c>
    </row>
    <row r="485" spans="1:8" ht="51">
      <c r="A485" t="str">
        <f>MID(B:B,1,9)</f>
        <v>AGS100027</v>
      </c>
      <c r="B485" s="13" t="s">
        <v>46</v>
      </c>
      <c r="C485" s="12">
        <v>4900</v>
      </c>
      <c r="D485" s="15">
        <v>0</v>
      </c>
      <c r="E485" s="16">
        <f t="shared" si="15"/>
        <v>0</v>
      </c>
      <c r="H485" t="s">
        <v>83</v>
      </c>
    </row>
    <row r="486" spans="1:8" ht="63.75">
      <c r="A486" t="str">
        <f>MID(B:B,1,9)</f>
        <v>AGS100031</v>
      </c>
      <c r="B486" s="13" t="s">
        <v>7</v>
      </c>
      <c r="C486" s="12">
        <v>6525</v>
      </c>
      <c r="D486" s="15">
        <v>0</v>
      </c>
      <c r="E486" s="16">
        <f t="shared" si="15"/>
        <v>0</v>
      </c>
      <c r="H486" t="s">
        <v>84</v>
      </c>
    </row>
    <row r="487" spans="1:8" ht="63.75">
      <c r="A487" t="str">
        <f>MID(B:B,1,9)</f>
        <v>AGS100033</v>
      </c>
      <c r="B487" s="13" t="s">
        <v>8</v>
      </c>
      <c r="C487" s="12">
        <v>3850</v>
      </c>
      <c r="D487" s="15">
        <v>0</v>
      </c>
      <c r="E487" s="16">
        <f t="shared" si="15"/>
        <v>0</v>
      </c>
      <c r="H487" t="s">
        <v>85</v>
      </c>
    </row>
    <row r="488" spans="1:8" ht="51">
      <c r="A488" t="str">
        <f>MID(B:B,1,9)</f>
        <v>AGS100037</v>
      </c>
      <c r="B488" s="13" t="s">
        <v>10</v>
      </c>
      <c r="C488" s="12">
        <v>7600</v>
      </c>
      <c r="D488" s="15">
        <v>0</v>
      </c>
      <c r="E488" s="16">
        <f t="shared" si="15"/>
        <v>0</v>
      </c>
      <c r="H488" t="s">
        <v>86</v>
      </c>
    </row>
    <row r="489" spans="1:8" ht="63.75">
      <c r="A489" t="str">
        <f>MID(B:B,1,9)</f>
        <v>AGS100041</v>
      </c>
      <c r="B489" s="13" t="s">
        <v>11</v>
      </c>
      <c r="C489" s="12">
        <v>5250</v>
      </c>
      <c r="D489" s="15">
        <v>0</v>
      </c>
      <c r="E489" s="16">
        <f t="shared" si="15"/>
        <v>0</v>
      </c>
      <c r="H489" t="s">
        <v>87</v>
      </c>
    </row>
    <row r="490" spans="1:8" ht="63.75">
      <c r="A490" t="str">
        <f>MID(B:B,1,9)</f>
        <v>AGS100042</v>
      </c>
      <c r="B490" s="13" t="s">
        <v>12</v>
      </c>
      <c r="C490" s="12">
        <v>3400</v>
      </c>
      <c r="D490" s="15">
        <v>0</v>
      </c>
      <c r="E490" s="16">
        <f t="shared" si="15"/>
        <v>0</v>
      </c>
      <c r="H490" t="s">
        <v>88</v>
      </c>
    </row>
    <row r="491" spans="1:8" ht="51">
      <c r="A491" t="str">
        <f>MID(B:B,1,9)</f>
        <v>AGS100043</v>
      </c>
      <c r="B491" s="13" t="s">
        <v>47</v>
      </c>
      <c r="C491" s="12">
        <v>6750</v>
      </c>
      <c r="D491" s="15">
        <v>0</v>
      </c>
      <c r="E491" s="16">
        <f t="shared" si="15"/>
        <v>0</v>
      </c>
      <c r="H491" t="s">
        <v>89</v>
      </c>
    </row>
    <row r="492" spans="1:8" ht="63.75">
      <c r="A492" t="str">
        <f>MID(B:B,1,9)</f>
        <v>AGS100044</v>
      </c>
      <c r="B492" s="13" t="s">
        <v>14</v>
      </c>
      <c r="C492" s="12">
        <v>6130</v>
      </c>
      <c r="D492" s="15">
        <v>0</v>
      </c>
      <c r="E492" s="16">
        <f t="shared" si="15"/>
        <v>0</v>
      </c>
      <c r="H492" t="s">
        <v>90</v>
      </c>
    </row>
    <row r="493" spans="1:8" ht="63.75">
      <c r="A493" t="str">
        <f>MID(B:B,1,9)</f>
        <v>AGS100045</v>
      </c>
      <c r="B493" s="13" t="s">
        <v>15</v>
      </c>
      <c r="C493" s="12">
        <v>1175</v>
      </c>
      <c r="D493" s="15">
        <v>0</v>
      </c>
      <c r="E493" s="16">
        <f t="shared" si="15"/>
        <v>0</v>
      </c>
      <c r="H493" t="s">
        <v>91</v>
      </c>
    </row>
    <row r="494" spans="1:8" ht="63.75">
      <c r="A494" t="str">
        <f>MID(B:B,1,9)</f>
        <v>AGS100047</v>
      </c>
      <c r="B494" s="13" t="s">
        <v>17</v>
      </c>
      <c r="C494" s="12">
        <v>950</v>
      </c>
      <c r="D494" s="15">
        <v>0</v>
      </c>
      <c r="E494" s="16">
        <f>C494*D494</f>
        <v>0</v>
      </c>
      <c r="H494" t="s">
        <v>92</v>
      </c>
    </row>
    <row r="495" spans="1:8" ht="51">
      <c r="A495" t="str">
        <f>MID(B:B,1,9)</f>
        <v>AGS100049</v>
      </c>
      <c r="B495" s="13" t="s">
        <v>19</v>
      </c>
      <c r="C495" s="12">
        <v>6175</v>
      </c>
      <c r="D495" s="15">
        <v>0</v>
      </c>
      <c r="E495" s="16">
        <f t="shared" si="15"/>
        <v>0</v>
      </c>
      <c r="H495" t="s">
        <v>93</v>
      </c>
    </row>
    <row r="496" spans="1:8" ht="63.75">
      <c r="A496" t="str">
        <f>MID(B:B,1,9)</f>
        <v>AGS100051</v>
      </c>
      <c r="B496" s="13" t="s">
        <v>20</v>
      </c>
      <c r="C496" s="12">
        <v>2300</v>
      </c>
      <c r="D496" s="15">
        <v>0</v>
      </c>
      <c r="E496" s="16">
        <f t="shared" si="15"/>
        <v>0</v>
      </c>
      <c r="H496" t="s">
        <v>94</v>
      </c>
    </row>
    <row r="497" spans="1:8" ht="63.75">
      <c r="A497" t="str">
        <f>MID(B:B,1,9)</f>
        <v>AGS100055</v>
      </c>
      <c r="B497" s="13" t="s">
        <v>21</v>
      </c>
      <c r="C497" s="12">
        <v>2300</v>
      </c>
      <c r="D497" s="15">
        <v>0</v>
      </c>
      <c r="E497" s="16">
        <f t="shared" si="15"/>
        <v>0</v>
      </c>
      <c r="H497" t="s">
        <v>95</v>
      </c>
    </row>
    <row r="498" spans="1:8" ht="51">
      <c r="A498" t="str">
        <f>MID(B:B,1,9)</f>
        <v>AGS100056</v>
      </c>
      <c r="B498" s="13" t="s">
        <v>22</v>
      </c>
      <c r="C498" s="12">
        <v>9450</v>
      </c>
      <c r="D498" s="15">
        <v>0</v>
      </c>
      <c r="E498" s="16">
        <f t="shared" si="15"/>
        <v>0</v>
      </c>
      <c r="H498" t="s">
        <v>96</v>
      </c>
    </row>
    <row r="499" spans="1:8" ht="51">
      <c r="A499" t="str">
        <f>MID(B:B,1,9)</f>
        <v>AGS100067</v>
      </c>
      <c r="B499" s="13" t="s">
        <v>23</v>
      </c>
      <c r="C499" s="12">
        <v>3525</v>
      </c>
      <c r="D499" s="15">
        <v>0</v>
      </c>
      <c r="E499" s="16">
        <f t="shared" si="15"/>
        <v>0</v>
      </c>
      <c r="H499" t="s">
        <v>97</v>
      </c>
    </row>
    <row r="500" spans="1:8" ht="25.5">
      <c r="A500" t="str">
        <f>MID(B:B,1,9)</f>
        <v>AGS100092</v>
      </c>
      <c r="B500" s="11" t="s">
        <v>48</v>
      </c>
      <c r="C500" s="12">
        <v>2000</v>
      </c>
      <c r="D500" s="15">
        <v>0</v>
      </c>
      <c r="E500" s="16">
        <f t="shared" si="15"/>
        <v>0</v>
      </c>
      <c r="H500" t="s">
        <v>98</v>
      </c>
    </row>
    <row r="501" spans="1:8" ht="51">
      <c r="A501" t="str">
        <f>MID(B:B,1,9)</f>
        <v>AGS100075</v>
      </c>
      <c r="B501" s="13" t="s">
        <v>24</v>
      </c>
      <c r="C501" s="12">
        <v>1050</v>
      </c>
      <c r="D501" s="15">
        <v>0</v>
      </c>
      <c r="E501" s="16">
        <f t="shared" si="15"/>
        <v>0</v>
      </c>
      <c r="H501" t="s">
        <v>42</v>
      </c>
    </row>
    <row r="502" spans="1:8" ht="51">
      <c r="A502" t="str">
        <f>MID(B:B,1,9)</f>
        <v>AGS100073</v>
      </c>
      <c r="B502" s="13" t="s">
        <v>26</v>
      </c>
      <c r="C502" s="12">
        <v>6200</v>
      </c>
      <c r="D502" s="15">
        <v>0</v>
      </c>
      <c r="E502" s="16">
        <f t="shared" si="15"/>
        <v>0</v>
      </c>
      <c r="H502" t="s">
        <v>99</v>
      </c>
    </row>
    <row r="503" spans="1:8" ht="63.75">
      <c r="A503" t="str">
        <f>MID(B:B,1,9)</f>
        <v>AGS100077</v>
      </c>
      <c r="B503" s="13" t="s">
        <v>28</v>
      </c>
      <c r="C503" s="12">
        <v>1900</v>
      </c>
      <c r="D503" s="15">
        <v>0</v>
      </c>
      <c r="E503" s="16">
        <f t="shared" si="15"/>
        <v>0</v>
      </c>
      <c r="H503" t="s">
        <v>100</v>
      </c>
    </row>
    <row r="504" spans="1:8" ht="63.75">
      <c r="A504" t="str">
        <f>MID(B:B,1,9)</f>
        <v>AGS100093</v>
      </c>
      <c r="B504" s="11" t="s">
        <v>49</v>
      </c>
      <c r="C504" s="12">
        <v>400</v>
      </c>
      <c r="D504" s="15">
        <v>0.1</v>
      </c>
      <c r="E504" s="16">
        <f t="shared" si="15"/>
        <v>40</v>
      </c>
      <c r="H504" t="s">
        <v>71</v>
      </c>
    </row>
    <row r="505" spans="1:8" ht="64.5" thickBot="1">
      <c r="A505" t="str">
        <f>MID(B:B,1,9)</f>
        <v>AGS100080</v>
      </c>
      <c r="B505" s="13" t="s">
        <v>29</v>
      </c>
      <c r="C505" s="12">
        <v>4750</v>
      </c>
      <c r="D505" s="15">
        <v>0</v>
      </c>
      <c r="E505" s="16">
        <f t="shared" si="15"/>
        <v>0</v>
      </c>
      <c r="H505" t="s">
        <v>71</v>
      </c>
    </row>
    <row r="506" spans="1:8" ht="15" thickTop="1">
      <c r="B506" s="10"/>
      <c r="C506" s="14">
        <v>117555</v>
      </c>
      <c r="D506" s="15"/>
      <c r="H506" t="s">
        <v>101</v>
      </c>
    </row>
    <row r="507" spans="1:8">
      <c r="A507" t="str">
        <f>MID(B:B,1,9)</f>
        <v>EGRESOS</v>
      </c>
      <c r="B507" s="9" t="s">
        <v>42</v>
      </c>
      <c r="C507" s="10"/>
      <c r="D507" s="15"/>
      <c r="H507" t="s">
        <v>102</v>
      </c>
    </row>
    <row r="508" spans="1:8" ht="51">
      <c r="A508" t="str">
        <f>MID(B:B,1,9)</f>
        <v>AGS100002</v>
      </c>
      <c r="B508" s="13" t="s">
        <v>1</v>
      </c>
      <c r="C508" s="12">
        <v>100</v>
      </c>
      <c r="D508" s="15" t="s">
        <v>69</v>
      </c>
      <c r="E508" t="s">
        <v>70</v>
      </c>
      <c r="H508" t="s">
        <v>102</v>
      </c>
    </row>
    <row r="509" spans="1:8" ht="63.75">
      <c r="A509" t="str">
        <f>MID(B:B,1,9)</f>
        <v>AGS100004</v>
      </c>
      <c r="B509" s="13" t="s">
        <v>2</v>
      </c>
      <c r="C509" s="12">
        <v>150</v>
      </c>
      <c r="D509" s="15">
        <v>7.0000000000000007E-2</v>
      </c>
      <c r="E509" s="16">
        <f>C509*D509</f>
        <v>10.500000000000002</v>
      </c>
      <c r="H509" t="s">
        <v>72</v>
      </c>
    </row>
    <row r="510" spans="1:8" ht="51">
      <c r="A510" t="str">
        <f>MID(B:B,1,9)</f>
        <v>AGS100090</v>
      </c>
      <c r="B510" s="13" t="s">
        <v>43</v>
      </c>
      <c r="C510" s="12">
        <v>200</v>
      </c>
      <c r="D510" s="15">
        <v>0</v>
      </c>
      <c r="E510" s="16">
        <f>C510*D510</f>
        <v>0</v>
      </c>
      <c r="H510" t="s">
        <v>103</v>
      </c>
    </row>
    <row r="511" spans="1:8" ht="51">
      <c r="A511" t="str">
        <f>MID(B:B,1,9)</f>
        <v>AGS100090</v>
      </c>
      <c r="B511" s="13" t="s">
        <v>50</v>
      </c>
      <c r="C511" s="12">
        <v>100</v>
      </c>
      <c r="D511" s="15">
        <v>0</v>
      </c>
      <c r="E511" s="16">
        <f t="shared" ref="E511:E524" si="16">C511*D511</f>
        <v>0</v>
      </c>
      <c r="H511" t="s">
        <v>73</v>
      </c>
    </row>
    <row r="512" spans="1:8" ht="51">
      <c r="A512" t="str">
        <f>MID(B:B,1,9)</f>
        <v>AGS100005</v>
      </c>
      <c r="B512" s="13" t="s">
        <v>6</v>
      </c>
      <c r="C512" s="12">
        <v>725</v>
      </c>
      <c r="D512" s="15">
        <v>0</v>
      </c>
      <c r="E512" s="16">
        <f t="shared" si="16"/>
        <v>0</v>
      </c>
      <c r="H512" t="s">
        <v>74</v>
      </c>
    </row>
    <row r="513" spans="1:8" ht="63.75">
      <c r="A513" t="str">
        <f>MID(B:B,1,9)</f>
        <v>AGS100094</v>
      </c>
      <c r="B513" s="13" t="s">
        <v>51</v>
      </c>
      <c r="C513" s="12">
        <v>100</v>
      </c>
      <c r="D513" s="15">
        <v>0</v>
      </c>
      <c r="E513" s="16">
        <f t="shared" si="16"/>
        <v>0</v>
      </c>
      <c r="H513" t="s">
        <v>74</v>
      </c>
    </row>
    <row r="514" spans="1:8" ht="51">
      <c r="A514" t="str">
        <f>MID(B:B,1,9)</f>
        <v>AGS100094</v>
      </c>
      <c r="B514" s="11" t="s">
        <v>52</v>
      </c>
      <c r="C514" s="12">
        <v>650</v>
      </c>
      <c r="D514" s="15">
        <v>0</v>
      </c>
      <c r="E514" s="16">
        <f t="shared" si="16"/>
        <v>0</v>
      </c>
      <c r="H514" t="s">
        <v>75</v>
      </c>
    </row>
    <row r="515" spans="1:8" ht="63.75">
      <c r="A515" t="str">
        <f>MID(B:B,1,9)</f>
        <v>AGS100010</v>
      </c>
      <c r="B515" s="13" t="s">
        <v>0</v>
      </c>
      <c r="C515" s="12">
        <v>0</v>
      </c>
      <c r="D515" s="15">
        <v>0</v>
      </c>
      <c r="E515" s="16">
        <f t="shared" si="16"/>
        <v>0</v>
      </c>
      <c r="H515" t="s">
        <v>76</v>
      </c>
    </row>
    <row r="516" spans="1:8" ht="76.5">
      <c r="A516" t="str">
        <f>MID(B:B,1,9)</f>
        <v>AGS100013</v>
      </c>
      <c r="B516" s="13" t="s">
        <v>9</v>
      </c>
      <c r="C516" s="12">
        <v>500</v>
      </c>
      <c r="D516" s="15">
        <v>0</v>
      </c>
      <c r="E516" s="16">
        <f t="shared" si="16"/>
        <v>0</v>
      </c>
      <c r="H516" t="s">
        <v>104</v>
      </c>
    </row>
    <row r="517" spans="1:8" ht="63.75">
      <c r="A517" t="str">
        <f>MID(B:B,1,9)</f>
        <v>AGS100091</v>
      </c>
      <c r="B517" s="13" t="s">
        <v>44</v>
      </c>
      <c r="C517" s="12">
        <v>0</v>
      </c>
      <c r="D517" s="15">
        <v>0</v>
      </c>
      <c r="E517" s="16">
        <f t="shared" si="16"/>
        <v>0</v>
      </c>
      <c r="H517" t="s">
        <v>104</v>
      </c>
    </row>
    <row r="518" spans="1:8" ht="63.75">
      <c r="A518" t="str">
        <f>MID(B:B,1,9)</f>
        <v>AGS100015</v>
      </c>
      <c r="B518" s="13" t="s">
        <v>3</v>
      </c>
      <c r="C518" s="12">
        <v>0</v>
      </c>
      <c r="D518" s="15">
        <v>0</v>
      </c>
      <c r="E518" s="16">
        <f t="shared" si="16"/>
        <v>0</v>
      </c>
      <c r="H518" t="s">
        <v>105</v>
      </c>
    </row>
    <row r="519" spans="1:8" ht="51">
      <c r="A519" t="str">
        <f>MID(B:B,1,9)</f>
        <v>AGS100015</v>
      </c>
      <c r="B519" s="13" t="s">
        <v>13</v>
      </c>
      <c r="C519" s="12">
        <v>200</v>
      </c>
      <c r="D519" s="15">
        <v>0</v>
      </c>
      <c r="E519" s="16">
        <f t="shared" si="16"/>
        <v>0</v>
      </c>
      <c r="H519" t="s">
        <v>105</v>
      </c>
    </row>
    <row r="520" spans="1:8" ht="63.75">
      <c r="A520" t="str">
        <f>MID(B:B,1,9)</f>
        <v>AGS100017</v>
      </c>
      <c r="B520" s="13" t="s">
        <v>4</v>
      </c>
      <c r="C520" s="12">
        <v>0</v>
      </c>
      <c r="D520" s="15">
        <v>0</v>
      </c>
      <c r="E520" s="16">
        <f t="shared" si="16"/>
        <v>0</v>
      </c>
      <c r="H520" t="s">
        <v>106</v>
      </c>
    </row>
    <row r="521" spans="1:8" ht="51">
      <c r="A521" t="str">
        <f>MID(B:B,1,9)</f>
        <v>AGS100020</v>
      </c>
      <c r="B521" s="13" t="s">
        <v>5</v>
      </c>
      <c r="C521" s="12">
        <v>0</v>
      </c>
      <c r="D521" s="15">
        <v>0</v>
      </c>
      <c r="E521" s="16">
        <f t="shared" si="16"/>
        <v>0</v>
      </c>
      <c r="H521" t="s">
        <v>77</v>
      </c>
    </row>
    <row r="522" spans="1:8" ht="51">
      <c r="A522" t="str">
        <f>MID(B:B,1,9)</f>
        <v>AGS100021</v>
      </c>
      <c r="B522" s="13" t="s">
        <v>16</v>
      </c>
      <c r="C522" s="12">
        <v>400</v>
      </c>
      <c r="D522" s="15">
        <v>0</v>
      </c>
      <c r="E522" s="16">
        <f t="shared" si="16"/>
        <v>0</v>
      </c>
      <c r="H522" t="s">
        <v>107</v>
      </c>
    </row>
    <row r="523" spans="1:8" ht="38.25">
      <c r="A523" t="str">
        <f>MID(B:B,1,9)</f>
        <v>AGS100021</v>
      </c>
      <c r="B523" s="13" t="s">
        <v>18</v>
      </c>
      <c r="C523" s="12">
        <v>150</v>
      </c>
      <c r="D523" s="15">
        <v>0</v>
      </c>
      <c r="E523" s="16">
        <f t="shared" si="16"/>
        <v>0</v>
      </c>
      <c r="H523" t="s">
        <v>78</v>
      </c>
    </row>
    <row r="524" spans="1:8" ht="63.75">
      <c r="A524" t="str">
        <f>MID(B:B,1,9)</f>
        <v>AGS100095</v>
      </c>
      <c r="B524" s="11" t="s">
        <v>53</v>
      </c>
      <c r="C524" s="12">
        <v>300</v>
      </c>
      <c r="D524" s="15">
        <v>0</v>
      </c>
      <c r="E524" s="16">
        <f t="shared" si="16"/>
        <v>0</v>
      </c>
      <c r="H524" t="s">
        <v>108</v>
      </c>
    </row>
    <row r="525" spans="1:8" ht="63.75">
      <c r="A525" t="str">
        <f>MID(B:B,1,9)</f>
        <v>AGS100095</v>
      </c>
      <c r="B525" s="13" t="s">
        <v>54</v>
      </c>
      <c r="C525" s="12">
        <v>605</v>
      </c>
      <c r="D525" s="15">
        <v>0</v>
      </c>
      <c r="E525" s="16">
        <f>C525*D525</f>
        <v>0</v>
      </c>
      <c r="H525" t="s">
        <v>109</v>
      </c>
    </row>
    <row r="526" spans="1:8" ht="63.75">
      <c r="A526" t="str">
        <f>MID(B:B,1,9)</f>
        <v>AGS100096</v>
      </c>
      <c r="B526" s="11" t="s">
        <v>55</v>
      </c>
      <c r="C526" s="12">
        <v>1</v>
      </c>
      <c r="D526" s="15">
        <v>0</v>
      </c>
      <c r="E526" s="16">
        <f t="shared" ref="E526:E571" si="17">C526*D526</f>
        <v>0</v>
      </c>
      <c r="H526" t="s">
        <v>110</v>
      </c>
    </row>
    <row r="527" spans="1:8" ht="38.25">
      <c r="A527" t="str">
        <f>MID(B:B,1,9)</f>
        <v>AGS100025</v>
      </c>
      <c r="B527" s="13" t="s">
        <v>45</v>
      </c>
      <c r="C527" s="12">
        <v>0</v>
      </c>
      <c r="D527" s="15">
        <v>0</v>
      </c>
      <c r="E527" s="16">
        <f t="shared" si="17"/>
        <v>0</v>
      </c>
      <c r="H527" t="s">
        <v>111</v>
      </c>
    </row>
    <row r="528" spans="1:8" ht="25.5">
      <c r="A528" t="str">
        <f>MID(B:B,1,9)</f>
        <v>AGS100097</v>
      </c>
      <c r="B528" s="11" t="s">
        <v>56</v>
      </c>
      <c r="C528" s="12">
        <v>105573</v>
      </c>
      <c r="D528" s="15">
        <v>0</v>
      </c>
      <c r="E528" s="16">
        <f t="shared" si="17"/>
        <v>0</v>
      </c>
      <c r="H528" t="s">
        <v>79</v>
      </c>
    </row>
    <row r="529" spans="1:8" ht="51">
      <c r="A529" t="str">
        <f>MID(B:B,1,9)</f>
        <v>AGS100027</v>
      </c>
      <c r="B529" s="13" t="s">
        <v>46</v>
      </c>
      <c r="C529" s="12">
        <v>0</v>
      </c>
      <c r="D529" s="15">
        <v>0</v>
      </c>
      <c r="E529" s="16">
        <f t="shared" si="17"/>
        <v>0</v>
      </c>
      <c r="H529" t="s">
        <v>112</v>
      </c>
    </row>
    <row r="530" spans="1:8" ht="76.5">
      <c r="A530" t="str">
        <f>MID(B:B,1,9)</f>
        <v>AGS100028</v>
      </c>
      <c r="B530" s="13" t="s">
        <v>40</v>
      </c>
      <c r="C530" s="12">
        <v>150</v>
      </c>
      <c r="D530" s="15">
        <v>0</v>
      </c>
      <c r="E530" s="16">
        <f t="shared" si="17"/>
        <v>0</v>
      </c>
      <c r="H530" t="s">
        <v>80</v>
      </c>
    </row>
    <row r="531" spans="1:8" ht="63.75">
      <c r="A531" t="str">
        <f>MID(B:B,1,9)</f>
        <v>AGS100029</v>
      </c>
      <c r="B531" s="13" t="s">
        <v>25</v>
      </c>
      <c r="C531" s="12">
        <v>350</v>
      </c>
      <c r="D531" s="15">
        <v>0</v>
      </c>
      <c r="E531" s="16">
        <f t="shared" si="17"/>
        <v>0</v>
      </c>
      <c r="H531" t="s">
        <v>113</v>
      </c>
    </row>
    <row r="532" spans="1:8" ht="63.75">
      <c r="A532" t="str">
        <f>MID(B:B,1,9)</f>
        <v>AGS100030</v>
      </c>
      <c r="B532" s="13" t="s">
        <v>27</v>
      </c>
      <c r="C532" s="12">
        <v>100</v>
      </c>
      <c r="D532" s="15">
        <v>0</v>
      </c>
      <c r="E532" s="16">
        <f t="shared" si="17"/>
        <v>0</v>
      </c>
      <c r="H532" t="s">
        <v>113</v>
      </c>
    </row>
    <row r="533" spans="1:8" ht="63.75">
      <c r="A533" t="str">
        <f>MID(B:B,1,9)</f>
        <v>AGS100098</v>
      </c>
      <c r="B533" s="11" t="s">
        <v>57</v>
      </c>
      <c r="C533" s="12">
        <v>150</v>
      </c>
      <c r="D533" s="15">
        <v>0</v>
      </c>
      <c r="E533" s="16">
        <f t="shared" si="17"/>
        <v>0</v>
      </c>
      <c r="H533" t="s">
        <v>81</v>
      </c>
    </row>
    <row r="534" spans="1:8" ht="63.75">
      <c r="A534" t="str">
        <f>MID(B:B,1,9)</f>
        <v>AGS100031</v>
      </c>
      <c r="B534" s="13" t="s">
        <v>7</v>
      </c>
      <c r="C534" s="12">
        <v>0</v>
      </c>
      <c r="D534" s="15">
        <v>0</v>
      </c>
      <c r="E534" s="16">
        <f t="shared" si="17"/>
        <v>0</v>
      </c>
      <c r="H534" t="s">
        <v>82</v>
      </c>
    </row>
    <row r="535" spans="1:8" ht="63.75">
      <c r="A535" t="str">
        <f>MID(B:B,1,9)</f>
        <v>AGS100032</v>
      </c>
      <c r="B535" s="13" t="s">
        <v>30</v>
      </c>
      <c r="C535" s="12">
        <v>500</v>
      </c>
      <c r="D535" s="15">
        <v>0.1</v>
      </c>
      <c r="E535" s="16">
        <f t="shared" si="17"/>
        <v>50</v>
      </c>
      <c r="H535" t="s">
        <v>83</v>
      </c>
    </row>
    <row r="536" spans="1:8" ht="63.75">
      <c r="A536" t="str">
        <f>MID(B:B,1,9)</f>
        <v>AGS100033</v>
      </c>
      <c r="B536" s="13" t="s">
        <v>8</v>
      </c>
      <c r="C536" s="12">
        <v>0</v>
      </c>
      <c r="D536" s="15">
        <v>0</v>
      </c>
      <c r="E536" s="16">
        <f t="shared" si="17"/>
        <v>0</v>
      </c>
      <c r="H536" t="s">
        <v>114</v>
      </c>
    </row>
    <row r="537" spans="1:8" ht="51">
      <c r="A537" t="str">
        <f>MID(B:B,1,9)</f>
        <v>AGS100036</v>
      </c>
      <c r="B537" s="13" t="s">
        <v>58</v>
      </c>
      <c r="C537" s="12">
        <v>200</v>
      </c>
      <c r="D537" s="15">
        <v>1</v>
      </c>
      <c r="E537" s="16">
        <f t="shared" si="17"/>
        <v>200</v>
      </c>
      <c r="H537" t="s">
        <v>85</v>
      </c>
    </row>
    <row r="538" spans="1:8" ht="51">
      <c r="A538" t="str">
        <f>MID(B:B,1,9)</f>
        <v>AGS100036</v>
      </c>
      <c r="B538" s="13" t="s">
        <v>59</v>
      </c>
      <c r="C538" s="12">
        <v>350</v>
      </c>
      <c r="D538" s="15">
        <v>2</v>
      </c>
      <c r="E538" s="16">
        <f t="shared" si="17"/>
        <v>700</v>
      </c>
      <c r="H538" t="s">
        <v>86</v>
      </c>
    </row>
    <row r="539" spans="1:8" ht="51">
      <c r="A539" t="str">
        <f>MID(B:B,1,9)</f>
        <v>AGS100037</v>
      </c>
      <c r="B539" s="13" t="s">
        <v>10</v>
      </c>
      <c r="C539" s="12">
        <v>0</v>
      </c>
      <c r="D539" s="15">
        <v>3</v>
      </c>
      <c r="E539" s="16">
        <f t="shared" si="17"/>
        <v>0</v>
      </c>
      <c r="H539" t="s">
        <v>87</v>
      </c>
    </row>
    <row r="540" spans="1:8" ht="63.75">
      <c r="A540" t="str">
        <f>MID(B:B,1,9)</f>
        <v>AGS100041</v>
      </c>
      <c r="B540" s="13" t="s">
        <v>11</v>
      </c>
      <c r="C540" s="12">
        <v>0</v>
      </c>
      <c r="D540" s="15">
        <v>4</v>
      </c>
      <c r="E540" s="16">
        <f t="shared" si="17"/>
        <v>0</v>
      </c>
      <c r="H540" t="s">
        <v>115</v>
      </c>
    </row>
    <row r="541" spans="1:8" ht="63.75">
      <c r="A541" t="str">
        <f>MID(B:B,1,9)</f>
        <v>AGS100042</v>
      </c>
      <c r="B541" s="13" t="s">
        <v>12</v>
      </c>
      <c r="C541" s="12">
        <v>0</v>
      </c>
      <c r="D541" s="15">
        <v>5</v>
      </c>
      <c r="E541" s="16">
        <f t="shared" si="17"/>
        <v>0</v>
      </c>
      <c r="H541" t="s">
        <v>88</v>
      </c>
    </row>
    <row r="542" spans="1:8" ht="51">
      <c r="A542" t="str">
        <f>MID(B:B,1,9)</f>
        <v>AGS100034</v>
      </c>
      <c r="B542" s="13" t="s">
        <v>60</v>
      </c>
      <c r="C542" s="12">
        <v>0</v>
      </c>
      <c r="D542" s="15">
        <v>6</v>
      </c>
      <c r="E542" s="16">
        <f t="shared" si="17"/>
        <v>0</v>
      </c>
      <c r="H542" t="s">
        <v>116</v>
      </c>
    </row>
    <row r="543" spans="1:8" ht="63.75">
      <c r="A543" t="str">
        <f>MID(B:B,1,9)</f>
        <v>AGS100044</v>
      </c>
      <c r="B543" s="13" t="s">
        <v>14</v>
      </c>
      <c r="C543" s="12">
        <v>0</v>
      </c>
      <c r="D543" s="15">
        <v>7</v>
      </c>
      <c r="E543" s="16">
        <f t="shared" si="17"/>
        <v>0</v>
      </c>
      <c r="H543" t="s">
        <v>89</v>
      </c>
    </row>
    <row r="544" spans="1:8" ht="63.75">
      <c r="A544" t="str">
        <f>MID(B:B,1,9)</f>
        <v>AGS100045</v>
      </c>
      <c r="B544" s="13" t="s">
        <v>15</v>
      </c>
      <c r="C544" s="12">
        <v>0</v>
      </c>
      <c r="D544" s="15">
        <v>8</v>
      </c>
      <c r="E544" s="16">
        <f t="shared" si="17"/>
        <v>0</v>
      </c>
      <c r="H544" t="s">
        <v>117</v>
      </c>
    </row>
    <row r="545" spans="1:8" ht="63.75">
      <c r="A545" t="str">
        <f>MID(B:B,1,9)</f>
        <v>AGS100047</v>
      </c>
      <c r="B545" s="13" t="s">
        <v>17</v>
      </c>
      <c r="C545" s="12">
        <v>0</v>
      </c>
      <c r="D545" s="15">
        <v>9</v>
      </c>
      <c r="E545" s="16">
        <f t="shared" si="17"/>
        <v>0</v>
      </c>
      <c r="H545" t="s">
        <v>118</v>
      </c>
    </row>
    <row r="546" spans="1:8" ht="63.75">
      <c r="A546" t="str">
        <f>MID(B:B,1,9)</f>
        <v>AGS100046</v>
      </c>
      <c r="B546" s="13" t="s">
        <v>31</v>
      </c>
      <c r="C546" s="12">
        <v>400</v>
      </c>
      <c r="D546" s="15">
        <v>10</v>
      </c>
      <c r="E546" s="16">
        <f t="shared" si="17"/>
        <v>4000</v>
      </c>
      <c r="H546" t="s">
        <v>118</v>
      </c>
    </row>
    <row r="547" spans="1:8" ht="51">
      <c r="A547" t="str">
        <f>MID(B:B,1,9)</f>
        <v>AGS100049</v>
      </c>
      <c r="B547" s="13" t="s">
        <v>19</v>
      </c>
      <c r="C547" s="12">
        <v>0</v>
      </c>
      <c r="D547" s="15">
        <v>11</v>
      </c>
      <c r="E547" s="16">
        <f t="shared" si="17"/>
        <v>0</v>
      </c>
      <c r="H547" t="s">
        <v>119</v>
      </c>
    </row>
    <row r="548" spans="1:8" ht="51">
      <c r="A548" t="str">
        <f>MID(B:B,1,9)</f>
        <v>AGS100099</v>
      </c>
      <c r="B548" s="11" t="s">
        <v>61</v>
      </c>
      <c r="C548" s="12">
        <v>700</v>
      </c>
      <c r="D548" s="15">
        <v>12</v>
      </c>
      <c r="E548" s="16">
        <f t="shared" si="17"/>
        <v>8400</v>
      </c>
      <c r="H548" t="s">
        <v>90</v>
      </c>
    </row>
    <row r="549" spans="1:8" ht="63.75">
      <c r="A549" t="str">
        <f>MID(B:B,1,9)</f>
        <v>AGS100051</v>
      </c>
      <c r="B549" s="13" t="s">
        <v>20</v>
      </c>
      <c r="C549" s="12">
        <v>0</v>
      </c>
      <c r="D549" s="15">
        <v>13</v>
      </c>
      <c r="E549" s="16">
        <f t="shared" si="17"/>
        <v>0</v>
      </c>
      <c r="H549" t="s">
        <v>91</v>
      </c>
    </row>
    <row r="550" spans="1:8" ht="51">
      <c r="A550" t="str">
        <f>MID(B:B,1,9)</f>
        <v>AGS1000JU</v>
      </c>
      <c r="B550" s="13" t="s">
        <v>32</v>
      </c>
      <c r="C550" s="12">
        <v>300</v>
      </c>
      <c r="D550" s="15">
        <v>14</v>
      </c>
      <c r="E550" s="16">
        <f t="shared" si="17"/>
        <v>4200</v>
      </c>
      <c r="H550" t="s">
        <v>120</v>
      </c>
    </row>
    <row r="551" spans="1:8" ht="63.75">
      <c r="A551" t="str">
        <f>MID(B:B,1,9)</f>
        <v>AGS100053</v>
      </c>
      <c r="B551" s="13" t="s">
        <v>33</v>
      </c>
      <c r="C551" s="12">
        <v>600</v>
      </c>
      <c r="D551" s="15">
        <v>15</v>
      </c>
      <c r="E551" s="16">
        <f t="shared" si="17"/>
        <v>9000</v>
      </c>
      <c r="H551" t="s">
        <v>121</v>
      </c>
    </row>
    <row r="552" spans="1:8" ht="63.75">
      <c r="A552" t="str">
        <f>MID(B:B,1,9)</f>
        <v>AGS100053</v>
      </c>
      <c r="B552" s="13" t="s">
        <v>34</v>
      </c>
      <c r="C552" s="12">
        <v>150</v>
      </c>
      <c r="D552" s="15">
        <v>16</v>
      </c>
      <c r="E552" s="16">
        <f t="shared" si="17"/>
        <v>2400</v>
      </c>
      <c r="H552" t="s">
        <v>122</v>
      </c>
    </row>
    <row r="553" spans="1:8" ht="51">
      <c r="A553" t="str">
        <f>MID(B:B,1,9)</f>
        <v>AGS100100</v>
      </c>
      <c r="B553" s="11" t="s">
        <v>62</v>
      </c>
      <c r="C553" s="12">
        <v>1</v>
      </c>
      <c r="D553" s="15">
        <v>17</v>
      </c>
      <c r="E553" s="16">
        <f t="shared" si="17"/>
        <v>17</v>
      </c>
      <c r="H553" t="s">
        <v>92</v>
      </c>
    </row>
    <row r="554" spans="1:8" ht="63.75">
      <c r="A554" t="str">
        <f>MID(B:B,1,9)</f>
        <v>AGS100055</v>
      </c>
      <c r="B554" s="13" t="s">
        <v>21</v>
      </c>
      <c r="C554" s="12">
        <v>0</v>
      </c>
      <c r="D554" s="15">
        <v>18</v>
      </c>
      <c r="E554" s="16">
        <f t="shared" si="17"/>
        <v>0</v>
      </c>
      <c r="H554" t="s">
        <v>123</v>
      </c>
    </row>
    <row r="555" spans="1:8" ht="51">
      <c r="A555" t="str">
        <f>MID(B:B,1,9)</f>
        <v>AGS100056</v>
      </c>
      <c r="B555" s="13" t="s">
        <v>22</v>
      </c>
      <c r="C555" s="12">
        <v>0</v>
      </c>
      <c r="D555" s="15">
        <v>19</v>
      </c>
      <c r="E555" s="16">
        <f t="shared" si="17"/>
        <v>0</v>
      </c>
      <c r="H555" t="s">
        <v>93</v>
      </c>
    </row>
    <row r="556" spans="1:8" ht="63.75">
      <c r="A556" t="str">
        <f>MID(B:B,1,9)</f>
        <v>AGS100057</v>
      </c>
      <c r="B556" s="13" t="s">
        <v>35</v>
      </c>
      <c r="C556" s="12">
        <v>1050</v>
      </c>
      <c r="D556" s="15">
        <v>20</v>
      </c>
      <c r="E556" s="16">
        <f t="shared" si="17"/>
        <v>21000</v>
      </c>
      <c r="H556" t="s">
        <v>124</v>
      </c>
    </row>
    <row r="557" spans="1:8" ht="63.75">
      <c r="A557" t="str">
        <f>MID(B:B,1,9)</f>
        <v>AGS100059</v>
      </c>
      <c r="B557" s="13" t="s">
        <v>36</v>
      </c>
      <c r="C557" s="12">
        <v>400</v>
      </c>
      <c r="D557" s="15">
        <v>21</v>
      </c>
      <c r="E557" s="16">
        <f t="shared" si="17"/>
        <v>8400</v>
      </c>
      <c r="H557" t="s">
        <v>125</v>
      </c>
    </row>
    <row r="558" spans="1:8" ht="63.75">
      <c r="A558" t="str">
        <f>MID(B:B,1,9)</f>
        <v>AGS100060</v>
      </c>
      <c r="B558" s="13" t="s">
        <v>37</v>
      </c>
      <c r="C558" s="12">
        <v>200</v>
      </c>
      <c r="D558" s="15">
        <v>22</v>
      </c>
      <c r="E558" s="16">
        <f t="shared" si="17"/>
        <v>4400</v>
      </c>
      <c r="H558" t="s">
        <v>126</v>
      </c>
    </row>
    <row r="559" spans="1:8" ht="51">
      <c r="A559" t="str">
        <f>MID(B:B,1,9)</f>
        <v>AGS100067</v>
      </c>
      <c r="B559" s="13" t="s">
        <v>23</v>
      </c>
      <c r="C559" s="12">
        <v>0</v>
      </c>
      <c r="D559" s="15">
        <v>23</v>
      </c>
      <c r="E559" s="16">
        <f t="shared" si="17"/>
        <v>0</v>
      </c>
      <c r="H559" t="s">
        <v>94</v>
      </c>
    </row>
    <row r="560" spans="1:8" ht="51">
      <c r="A560" t="str">
        <f>MID(B:B,1,9)</f>
        <v>AGS100068</v>
      </c>
      <c r="B560" s="13" t="s">
        <v>63</v>
      </c>
      <c r="C560" s="12">
        <v>200</v>
      </c>
      <c r="D560" s="15">
        <v>24</v>
      </c>
      <c r="E560" s="16">
        <f t="shared" si="17"/>
        <v>4800</v>
      </c>
      <c r="H560" t="s">
        <v>95</v>
      </c>
    </row>
    <row r="561" spans="1:8" ht="25.5">
      <c r="A561" t="str">
        <f>MID(B:B,1,9)</f>
        <v>AGS100092</v>
      </c>
      <c r="B561" s="13" t="s">
        <v>48</v>
      </c>
      <c r="C561" s="12">
        <v>0</v>
      </c>
      <c r="D561" s="15">
        <v>25</v>
      </c>
      <c r="E561" s="16">
        <f t="shared" si="17"/>
        <v>0</v>
      </c>
      <c r="H561" t="s">
        <v>127</v>
      </c>
    </row>
    <row r="562" spans="1:8" ht="51">
      <c r="A562" t="str">
        <f>MID(B:B,1,9)</f>
        <v>AGS100071</v>
      </c>
      <c r="B562" s="13" t="s">
        <v>38</v>
      </c>
      <c r="C562" s="12">
        <v>100</v>
      </c>
      <c r="D562" s="15">
        <v>26</v>
      </c>
      <c r="E562" s="16">
        <f t="shared" si="17"/>
        <v>2600</v>
      </c>
      <c r="H562" t="s">
        <v>96</v>
      </c>
    </row>
    <row r="563" spans="1:8" ht="63.75">
      <c r="A563" t="str">
        <f>MID(B:B,1,9)</f>
        <v>AGS100074</v>
      </c>
      <c r="B563" s="13" t="s">
        <v>39</v>
      </c>
      <c r="C563" s="12">
        <v>350</v>
      </c>
      <c r="D563" s="15">
        <v>27</v>
      </c>
      <c r="E563" s="16">
        <f t="shared" si="17"/>
        <v>9450</v>
      </c>
      <c r="H563" t="s">
        <v>97</v>
      </c>
    </row>
    <row r="564" spans="1:8" ht="51">
      <c r="A564" t="str">
        <f>MID(B:B,1,9)</f>
        <v>AGS100101</v>
      </c>
      <c r="B564" s="11" t="s">
        <v>64</v>
      </c>
      <c r="C564" s="12">
        <v>150</v>
      </c>
      <c r="D564" s="15">
        <v>28</v>
      </c>
      <c r="E564" s="16">
        <f t="shared" si="17"/>
        <v>4200</v>
      </c>
      <c r="H564" t="s">
        <v>98</v>
      </c>
    </row>
    <row r="565" spans="1:8" ht="51">
      <c r="A565" t="str">
        <f>MID(B:B,1,9)</f>
        <v>AGS100075</v>
      </c>
      <c r="B565" s="13" t="s">
        <v>24</v>
      </c>
      <c r="C565" s="12">
        <v>0</v>
      </c>
      <c r="D565" s="15">
        <v>29</v>
      </c>
      <c r="E565" s="16">
        <f t="shared" si="17"/>
        <v>0</v>
      </c>
      <c r="H565" t="s">
        <v>128</v>
      </c>
    </row>
    <row r="566" spans="1:8" ht="51">
      <c r="A566" t="str">
        <f>MID(B:B,1,9)</f>
        <v>AGS100073</v>
      </c>
      <c r="B566" s="13" t="s">
        <v>26</v>
      </c>
      <c r="C566" s="12">
        <v>0</v>
      </c>
      <c r="D566" s="15">
        <v>30</v>
      </c>
      <c r="E566" s="16">
        <f t="shared" si="17"/>
        <v>0</v>
      </c>
      <c r="H566" t="s">
        <v>67</v>
      </c>
    </row>
    <row r="567" spans="1:8" ht="51">
      <c r="A567" t="str">
        <f>MID(B:B,1,9)</f>
        <v>AGS100102</v>
      </c>
      <c r="B567" s="11" t="s">
        <v>65</v>
      </c>
      <c r="C567" s="12">
        <v>1200</v>
      </c>
      <c r="D567" s="15">
        <v>31</v>
      </c>
      <c r="E567" s="16">
        <f t="shared" si="17"/>
        <v>37200</v>
      </c>
      <c r="H567" t="s">
        <v>129</v>
      </c>
    </row>
    <row r="568" spans="1:8" ht="63.75">
      <c r="A568" t="str">
        <f>MID(B:B,1,9)</f>
        <v>AGS100077</v>
      </c>
      <c r="B568" s="13" t="s">
        <v>28</v>
      </c>
      <c r="C568" s="12">
        <v>0</v>
      </c>
      <c r="D568" s="15">
        <v>32</v>
      </c>
      <c r="E568" s="16">
        <f t="shared" si="17"/>
        <v>0</v>
      </c>
    </row>
    <row r="569" spans="1:8" ht="63.75">
      <c r="A569" t="str">
        <f>MID(B:B,1,9)</f>
        <v>AGS100093</v>
      </c>
      <c r="B569" s="11" t="s">
        <v>49</v>
      </c>
      <c r="C569" s="12">
        <v>0</v>
      </c>
      <c r="D569" s="15">
        <v>33</v>
      </c>
      <c r="E569" s="16">
        <f t="shared" si="17"/>
        <v>0</v>
      </c>
    </row>
    <row r="570" spans="1:8" ht="63.75">
      <c r="A570" t="str">
        <f>MID(B:B,1,9)</f>
        <v>AGS100080</v>
      </c>
      <c r="B570" s="13" t="s">
        <v>29</v>
      </c>
      <c r="C570" s="12">
        <v>0</v>
      </c>
      <c r="D570" s="15">
        <v>34</v>
      </c>
      <c r="E570" s="16">
        <f t="shared" si="17"/>
        <v>0</v>
      </c>
    </row>
    <row r="571" spans="1:8" ht="51">
      <c r="A571" t="str">
        <f>MID(B:B,1,9)</f>
        <v>AGS100103</v>
      </c>
      <c r="B571" s="11" t="s">
        <v>66</v>
      </c>
      <c r="C571" s="12">
        <v>200</v>
      </c>
      <c r="D571" s="15">
        <v>35</v>
      </c>
      <c r="E571" s="16">
        <f t="shared" si="17"/>
        <v>7000</v>
      </c>
    </row>
    <row r="572" spans="1:8">
      <c r="A572" t="str">
        <f>MID(B:B,1,9)</f>
        <v>Ingresos</v>
      </c>
      <c r="B572" t="s">
        <v>67</v>
      </c>
      <c r="D572" s="15" t="s">
        <v>69</v>
      </c>
      <c r="E572" t="s">
        <v>70</v>
      </c>
    </row>
    <row r="573" spans="1:8" ht="25.5">
      <c r="A573" t="str">
        <f>MID(B:B,1,9)</f>
        <v>JULIETA P</v>
      </c>
      <c r="B573" s="11" t="s">
        <v>68</v>
      </c>
      <c r="C573" s="12">
        <v>1520</v>
      </c>
      <c r="D573" s="15">
        <v>7.0000000000000007E-2</v>
      </c>
      <c r="E573" s="16">
        <f>C573*D573</f>
        <v>106.4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D97"/>
  <sheetViews>
    <sheetView workbookViewId="0">
      <selection activeCell="A9" sqref="A9"/>
    </sheetView>
  </sheetViews>
  <sheetFormatPr baseColWidth="10" defaultRowHeight="14.25"/>
  <cols>
    <col min="1" max="1" width="46.875" customWidth="1"/>
    <col min="2" max="2" width="12.625" style="3" customWidth="1"/>
    <col min="3" max="3" width="11" style="15"/>
  </cols>
  <sheetData>
    <row r="1" spans="1:4">
      <c r="A1" s="9" t="s">
        <v>41</v>
      </c>
      <c r="B1" s="10"/>
      <c r="C1" s="15" t="s">
        <v>69</v>
      </c>
      <c r="D1" t="s">
        <v>70</v>
      </c>
    </row>
    <row r="2" spans="1:4">
      <c r="A2" s="11" t="s">
        <v>43</v>
      </c>
      <c r="B2" s="12">
        <v>200</v>
      </c>
      <c r="C2" s="15">
        <v>7.0000000000000007E-2</v>
      </c>
      <c r="D2" s="16">
        <f>B2*C2</f>
        <v>14.000000000000002</v>
      </c>
    </row>
    <row r="3" spans="1:4">
      <c r="A3" s="13" t="s">
        <v>0</v>
      </c>
      <c r="B3" s="12">
        <v>4350</v>
      </c>
      <c r="C3" s="15">
        <v>0</v>
      </c>
      <c r="D3" s="16">
        <f>B3*C3</f>
        <v>0</v>
      </c>
    </row>
    <row r="4" spans="1:4">
      <c r="A4" s="11" t="s">
        <v>44</v>
      </c>
      <c r="B4" s="12">
        <v>1200</v>
      </c>
      <c r="C4" s="15">
        <v>0</v>
      </c>
      <c r="D4" s="16">
        <f t="shared" ref="D4:D29" si="0">B4*C4</f>
        <v>0</v>
      </c>
    </row>
    <row r="5" spans="1:4">
      <c r="A5" s="13" t="s">
        <v>3</v>
      </c>
      <c r="B5" s="12">
        <v>4950</v>
      </c>
      <c r="C5" s="15">
        <v>0</v>
      </c>
      <c r="D5" s="16">
        <f t="shared" si="0"/>
        <v>0</v>
      </c>
    </row>
    <row r="6" spans="1:4">
      <c r="A6" s="13" t="s">
        <v>4</v>
      </c>
      <c r="B6" s="12">
        <v>5750</v>
      </c>
      <c r="C6" s="15">
        <v>0</v>
      </c>
      <c r="D6" s="16">
        <f t="shared" si="0"/>
        <v>0</v>
      </c>
    </row>
    <row r="7" spans="1:4">
      <c r="A7" s="13" t="s">
        <v>5</v>
      </c>
      <c r="B7" s="12">
        <v>10625</v>
      </c>
      <c r="C7" s="15">
        <v>0</v>
      </c>
      <c r="D7" s="16">
        <f t="shared" si="0"/>
        <v>0</v>
      </c>
    </row>
    <row r="8" spans="1:4">
      <c r="A8" s="13" t="s">
        <v>45</v>
      </c>
      <c r="B8" s="12">
        <v>3900</v>
      </c>
      <c r="C8" s="15">
        <v>0</v>
      </c>
      <c r="D8" s="16">
        <f t="shared" si="0"/>
        <v>0</v>
      </c>
    </row>
    <row r="9" spans="1:4">
      <c r="A9" s="13" t="s">
        <v>46</v>
      </c>
      <c r="B9" s="12">
        <v>4900</v>
      </c>
      <c r="C9" s="15">
        <v>0</v>
      </c>
      <c r="D9" s="16">
        <f t="shared" si="0"/>
        <v>0</v>
      </c>
    </row>
    <row r="10" spans="1:4">
      <c r="A10" s="13" t="s">
        <v>7</v>
      </c>
      <c r="B10" s="12">
        <v>6525</v>
      </c>
      <c r="C10" s="15">
        <v>0</v>
      </c>
      <c r="D10" s="16">
        <f t="shared" si="0"/>
        <v>0</v>
      </c>
    </row>
    <row r="11" spans="1:4">
      <c r="A11" s="13" t="s">
        <v>8</v>
      </c>
      <c r="B11" s="12">
        <v>3850</v>
      </c>
      <c r="C11" s="15">
        <v>0</v>
      </c>
      <c r="D11" s="16">
        <f t="shared" si="0"/>
        <v>0</v>
      </c>
    </row>
    <row r="12" spans="1:4">
      <c r="A12" s="13" t="s">
        <v>10</v>
      </c>
      <c r="B12" s="12">
        <v>7600</v>
      </c>
      <c r="C12" s="15">
        <v>0</v>
      </c>
      <c r="D12" s="16">
        <f t="shared" si="0"/>
        <v>0</v>
      </c>
    </row>
    <row r="13" spans="1:4">
      <c r="A13" s="13" t="s">
        <v>11</v>
      </c>
      <c r="B13" s="12">
        <v>5250</v>
      </c>
      <c r="C13" s="15">
        <v>0</v>
      </c>
      <c r="D13" s="16">
        <f t="shared" si="0"/>
        <v>0</v>
      </c>
    </row>
    <row r="14" spans="1:4">
      <c r="A14" s="13" t="s">
        <v>12</v>
      </c>
      <c r="B14" s="12">
        <v>3400</v>
      </c>
      <c r="C14" s="15">
        <v>0</v>
      </c>
      <c r="D14" s="16">
        <f t="shared" si="0"/>
        <v>0</v>
      </c>
    </row>
    <row r="15" spans="1:4">
      <c r="A15" s="13" t="s">
        <v>47</v>
      </c>
      <c r="B15" s="12">
        <v>6750</v>
      </c>
      <c r="C15" s="15">
        <v>0</v>
      </c>
      <c r="D15" s="16">
        <f t="shared" si="0"/>
        <v>0</v>
      </c>
    </row>
    <row r="16" spans="1:4">
      <c r="A16" s="13" t="s">
        <v>14</v>
      </c>
      <c r="B16" s="12">
        <v>6130</v>
      </c>
      <c r="C16" s="15">
        <v>0</v>
      </c>
      <c r="D16" s="16">
        <f t="shared" si="0"/>
        <v>0</v>
      </c>
    </row>
    <row r="17" spans="1:4">
      <c r="A17" s="13" t="s">
        <v>15</v>
      </c>
      <c r="B17" s="12">
        <v>1175</v>
      </c>
      <c r="C17" s="15">
        <v>0</v>
      </c>
      <c r="D17" s="16">
        <f t="shared" si="0"/>
        <v>0</v>
      </c>
    </row>
    <row r="18" spans="1:4">
      <c r="A18" s="13" t="s">
        <v>17</v>
      </c>
      <c r="B18" s="12">
        <v>950</v>
      </c>
      <c r="C18" s="15">
        <v>0</v>
      </c>
      <c r="D18" s="16">
        <f>B18*C18</f>
        <v>0</v>
      </c>
    </row>
    <row r="19" spans="1:4">
      <c r="A19" s="13" t="s">
        <v>19</v>
      </c>
      <c r="B19" s="12">
        <v>6175</v>
      </c>
      <c r="C19" s="15">
        <v>0</v>
      </c>
      <c r="D19" s="16">
        <f t="shared" si="0"/>
        <v>0</v>
      </c>
    </row>
    <row r="20" spans="1:4">
      <c r="A20" s="13" t="s">
        <v>20</v>
      </c>
      <c r="B20" s="12">
        <v>2300</v>
      </c>
      <c r="C20" s="15">
        <v>0</v>
      </c>
      <c r="D20" s="16">
        <f t="shared" si="0"/>
        <v>0</v>
      </c>
    </row>
    <row r="21" spans="1:4">
      <c r="A21" s="13" t="s">
        <v>21</v>
      </c>
      <c r="B21" s="12">
        <v>2300</v>
      </c>
      <c r="C21" s="15">
        <v>0</v>
      </c>
      <c r="D21" s="16">
        <f t="shared" si="0"/>
        <v>0</v>
      </c>
    </row>
    <row r="22" spans="1:4">
      <c r="A22" s="13" t="s">
        <v>22</v>
      </c>
      <c r="B22" s="12">
        <v>9450</v>
      </c>
      <c r="C22" s="15">
        <v>0</v>
      </c>
      <c r="D22" s="16">
        <f t="shared" si="0"/>
        <v>0</v>
      </c>
    </row>
    <row r="23" spans="1:4">
      <c r="A23" s="13" t="s">
        <v>23</v>
      </c>
      <c r="B23" s="12">
        <v>3525</v>
      </c>
      <c r="C23" s="15">
        <v>0</v>
      </c>
      <c r="D23" s="16">
        <f t="shared" si="0"/>
        <v>0</v>
      </c>
    </row>
    <row r="24" spans="1:4">
      <c r="A24" s="11" t="s">
        <v>48</v>
      </c>
      <c r="B24" s="12">
        <v>2000</v>
      </c>
      <c r="C24" s="15">
        <v>0</v>
      </c>
      <c r="D24" s="16">
        <f t="shared" si="0"/>
        <v>0</v>
      </c>
    </row>
    <row r="25" spans="1:4">
      <c r="A25" s="13" t="s">
        <v>24</v>
      </c>
      <c r="B25" s="12">
        <v>1050</v>
      </c>
      <c r="C25" s="15">
        <v>0</v>
      </c>
      <c r="D25" s="16">
        <f t="shared" si="0"/>
        <v>0</v>
      </c>
    </row>
    <row r="26" spans="1:4">
      <c r="A26" s="13" t="s">
        <v>26</v>
      </c>
      <c r="B26" s="12">
        <v>6200</v>
      </c>
      <c r="C26" s="15">
        <v>0</v>
      </c>
      <c r="D26" s="16">
        <f t="shared" si="0"/>
        <v>0</v>
      </c>
    </row>
    <row r="27" spans="1:4">
      <c r="A27" s="13" t="s">
        <v>28</v>
      </c>
      <c r="B27" s="12">
        <v>1900</v>
      </c>
      <c r="C27" s="15">
        <v>0</v>
      </c>
      <c r="D27" s="16">
        <f t="shared" si="0"/>
        <v>0</v>
      </c>
    </row>
    <row r="28" spans="1:4">
      <c r="A28" s="11" t="s">
        <v>49</v>
      </c>
      <c r="B28" s="12">
        <v>400</v>
      </c>
      <c r="C28" s="15">
        <v>0.1</v>
      </c>
      <c r="D28" s="16">
        <f t="shared" si="0"/>
        <v>40</v>
      </c>
    </row>
    <row r="29" spans="1:4" ht="15" thickBot="1">
      <c r="A29" s="13" t="s">
        <v>29</v>
      </c>
      <c r="B29" s="12">
        <v>4750</v>
      </c>
      <c r="C29" s="15">
        <v>0</v>
      </c>
      <c r="D29" s="16">
        <f t="shared" si="0"/>
        <v>0</v>
      </c>
    </row>
    <row r="30" spans="1:4" ht="15" thickTop="1">
      <c r="A30" s="10"/>
      <c r="B30" s="14">
        <v>117555</v>
      </c>
    </row>
    <row r="31" spans="1:4">
      <c r="A31" s="9" t="s">
        <v>42</v>
      </c>
      <c r="B31" s="10"/>
    </row>
    <row r="32" spans="1:4">
      <c r="A32" s="13" t="s">
        <v>1</v>
      </c>
      <c r="B32" s="12">
        <v>100</v>
      </c>
      <c r="C32" s="15" t="s">
        <v>69</v>
      </c>
      <c r="D32" t="s">
        <v>70</v>
      </c>
    </row>
    <row r="33" spans="1:4">
      <c r="A33" s="13" t="s">
        <v>2</v>
      </c>
      <c r="B33" s="12">
        <v>150</v>
      </c>
      <c r="C33" s="15">
        <v>7.0000000000000007E-2</v>
      </c>
      <c r="D33" s="16">
        <f>B33*C33</f>
        <v>10.500000000000002</v>
      </c>
    </row>
    <row r="34" spans="1:4">
      <c r="A34" s="13" t="s">
        <v>43</v>
      </c>
      <c r="B34" s="12">
        <v>200</v>
      </c>
      <c r="C34" s="15">
        <v>0</v>
      </c>
      <c r="D34" s="16">
        <f>B34*C34</f>
        <v>0</v>
      </c>
    </row>
    <row r="35" spans="1:4">
      <c r="A35" s="13" t="s">
        <v>50</v>
      </c>
      <c r="B35" s="12">
        <v>100</v>
      </c>
      <c r="C35" s="15">
        <v>0</v>
      </c>
      <c r="D35" s="16">
        <f t="shared" ref="D35:D48" si="1">B35*C35</f>
        <v>0</v>
      </c>
    </row>
    <row r="36" spans="1:4">
      <c r="A36" s="13" t="s">
        <v>6</v>
      </c>
      <c r="B36" s="12">
        <v>725</v>
      </c>
      <c r="C36" s="15">
        <v>0</v>
      </c>
      <c r="D36" s="16">
        <f t="shared" si="1"/>
        <v>0</v>
      </c>
    </row>
    <row r="37" spans="1:4">
      <c r="A37" s="13" t="s">
        <v>51</v>
      </c>
      <c r="B37" s="12">
        <v>100</v>
      </c>
      <c r="C37" s="15">
        <v>0</v>
      </c>
      <c r="D37" s="16">
        <f t="shared" si="1"/>
        <v>0</v>
      </c>
    </row>
    <row r="38" spans="1:4">
      <c r="A38" s="11" t="s">
        <v>52</v>
      </c>
      <c r="B38" s="12">
        <v>650</v>
      </c>
      <c r="C38" s="15">
        <v>0</v>
      </c>
      <c r="D38" s="16">
        <f t="shared" si="1"/>
        <v>0</v>
      </c>
    </row>
    <row r="39" spans="1:4">
      <c r="A39" s="13" t="s">
        <v>0</v>
      </c>
      <c r="B39" s="12">
        <v>0</v>
      </c>
      <c r="C39" s="15">
        <v>0</v>
      </c>
      <c r="D39" s="16">
        <f t="shared" si="1"/>
        <v>0</v>
      </c>
    </row>
    <row r="40" spans="1:4" ht="25.5">
      <c r="A40" s="13" t="s">
        <v>9</v>
      </c>
      <c r="B40" s="12">
        <v>500</v>
      </c>
      <c r="C40" s="15">
        <v>0</v>
      </c>
      <c r="D40" s="16">
        <f t="shared" si="1"/>
        <v>0</v>
      </c>
    </row>
    <row r="41" spans="1:4">
      <c r="A41" s="13" t="s">
        <v>44</v>
      </c>
      <c r="B41" s="12">
        <v>0</v>
      </c>
      <c r="C41" s="15">
        <v>0</v>
      </c>
      <c r="D41" s="16">
        <f t="shared" si="1"/>
        <v>0</v>
      </c>
    </row>
    <row r="42" spans="1:4">
      <c r="A42" s="13" t="s">
        <v>3</v>
      </c>
      <c r="B42" s="12">
        <v>0</v>
      </c>
      <c r="C42" s="15">
        <v>0</v>
      </c>
      <c r="D42" s="16">
        <f t="shared" si="1"/>
        <v>0</v>
      </c>
    </row>
    <row r="43" spans="1:4">
      <c r="A43" s="13" t="s">
        <v>13</v>
      </c>
      <c r="B43" s="12">
        <v>200</v>
      </c>
      <c r="C43" s="15">
        <v>0</v>
      </c>
      <c r="D43" s="16">
        <f t="shared" si="1"/>
        <v>0</v>
      </c>
    </row>
    <row r="44" spans="1:4">
      <c r="A44" s="13" t="s">
        <v>4</v>
      </c>
      <c r="B44" s="12">
        <v>0</v>
      </c>
      <c r="C44" s="15">
        <v>0</v>
      </c>
      <c r="D44" s="16">
        <f t="shared" si="1"/>
        <v>0</v>
      </c>
    </row>
    <row r="45" spans="1:4">
      <c r="A45" s="13" t="s">
        <v>5</v>
      </c>
      <c r="B45" s="12">
        <v>0</v>
      </c>
      <c r="C45" s="15">
        <v>0</v>
      </c>
      <c r="D45" s="16">
        <f t="shared" si="1"/>
        <v>0</v>
      </c>
    </row>
    <row r="46" spans="1:4">
      <c r="A46" s="13" t="s">
        <v>16</v>
      </c>
      <c r="B46" s="12">
        <v>400</v>
      </c>
      <c r="C46" s="15">
        <v>0</v>
      </c>
      <c r="D46" s="16">
        <f t="shared" si="1"/>
        <v>0</v>
      </c>
    </row>
    <row r="47" spans="1:4">
      <c r="A47" s="13" t="s">
        <v>18</v>
      </c>
      <c r="B47" s="12">
        <v>150</v>
      </c>
      <c r="C47" s="15">
        <v>0</v>
      </c>
      <c r="D47" s="16">
        <f t="shared" si="1"/>
        <v>0</v>
      </c>
    </row>
    <row r="48" spans="1:4">
      <c r="A48" s="11" t="s">
        <v>53</v>
      </c>
      <c r="B48" s="12">
        <v>300</v>
      </c>
      <c r="C48" s="15">
        <v>0</v>
      </c>
      <c r="D48" s="16">
        <f t="shared" si="1"/>
        <v>0</v>
      </c>
    </row>
    <row r="49" spans="1:4">
      <c r="A49" s="13" t="s">
        <v>54</v>
      </c>
      <c r="B49" s="12">
        <v>605</v>
      </c>
      <c r="C49" s="15">
        <v>0</v>
      </c>
      <c r="D49" s="16">
        <f>B49*C49</f>
        <v>0</v>
      </c>
    </row>
    <row r="50" spans="1:4">
      <c r="A50" s="11" t="s">
        <v>55</v>
      </c>
      <c r="B50" s="12">
        <v>1</v>
      </c>
      <c r="C50" s="15">
        <v>0</v>
      </c>
      <c r="D50" s="16">
        <f t="shared" ref="D50:D60" si="2">B50*C50</f>
        <v>0</v>
      </c>
    </row>
    <row r="51" spans="1:4">
      <c r="A51" s="13" t="s">
        <v>45</v>
      </c>
      <c r="B51" s="12">
        <v>0</v>
      </c>
      <c r="C51" s="15">
        <v>0</v>
      </c>
      <c r="D51" s="16">
        <f t="shared" si="2"/>
        <v>0</v>
      </c>
    </row>
    <row r="52" spans="1:4">
      <c r="A52" s="11" t="s">
        <v>56</v>
      </c>
      <c r="B52" s="12">
        <v>105573</v>
      </c>
      <c r="C52" s="15">
        <v>0</v>
      </c>
      <c r="D52" s="16">
        <f t="shared" si="2"/>
        <v>0</v>
      </c>
    </row>
    <row r="53" spans="1:4">
      <c r="A53" s="13" t="s">
        <v>46</v>
      </c>
      <c r="B53" s="12">
        <v>0</v>
      </c>
      <c r="C53" s="15">
        <v>0</v>
      </c>
      <c r="D53" s="16">
        <f t="shared" si="2"/>
        <v>0</v>
      </c>
    </row>
    <row r="54" spans="1:4" ht="25.5">
      <c r="A54" s="13" t="s">
        <v>40</v>
      </c>
      <c r="B54" s="12">
        <v>150</v>
      </c>
      <c r="C54" s="15">
        <v>0</v>
      </c>
      <c r="D54" s="16">
        <f t="shared" si="2"/>
        <v>0</v>
      </c>
    </row>
    <row r="55" spans="1:4">
      <c r="A55" s="13" t="s">
        <v>25</v>
      </c>
      <c r="B55" s="12">
        <v>350</v>
      </c>
      <c r="C55" s="15">
        <v>0</v>
      </c>
      <c r="D55" s="16">
        <f t="shared" si="2"/>
        <v>0</v>
      </c>
    </row>
    <row r="56" spans="1:4">
      <c r="A56" s="13" t="s">
        <v>27</v>
      </c>
      <c r="B56" s="12">
        <v>100</v>
      </c>
      <c r="C56" s="15">
        <v>0</v>
      </c>
      <c r="D56" s="16">
        <f t="shared" si="2"/>
        <v>0</v>
      </c>
    </row>
    <row r="57" spans="1:4">
      <c r="A57" s="11" t="s">
        <v>57</v>
      </c>
      <c r="B57" s="12">
        <v>150</v>
      </c>
      <c r="C57" s="15">
        <v>0</v>
      </c>
      <c r="D57" s="16">
        <f t="shared" si="2"/>
        <v>0</v>
      </c>
    </row>
    <row r="58" spans="1:4">
      <c r="A58" s="13" t="s">
        <v>7</v>
      </c>
      <c r="B58" s="12">
        <v>0</v>
      </c>
      <c r="C58" s="15">
        <v>0</v>
      </c>
      <c r="D58" s="16">
        <f t="shared" si="2"/>
        <v>0</v>
      </c>
    </row>
    <row r="59" spans="1:4">
      <c r="A59" s="13" t="s">
        <v>30</v>
      </c>
      <c r="B59" s="12">
        <v>500</v>
      </c>
      <c r="C59" s="15">
        <v>0.1</v>
      </c>
      <c r="D59" s="16">
        <f t="shared" si="2"/>
        <v>50</v>
      </c>
    </row>
    <row r="60" spans="1:4">
      <c r="A60" s="13" t="s">
        <v>8</v>
      </c>
      <c r="B60" s="12">
        <v>0</v>
      </c>
      <c r="C60" s="15">
        <v>0</v>
      </c>
      <c r="D60" s="16">
        <f t="shared" si="2"/>
        <v>0</v>
      </c>
    </row>
    <row r="61" spans="1:4">
      <c r="A61" s="13" t="s">
        <v>58</v>
      </c>
      <c r="B61" s="12">
        <v>200</v>
      </c>
      <c r="C61" s="15">
        <v>1</v>
      </c>
      <c r="D61" s="16">
        <f t="shared" ref="D61:D95" si="3">B61*C61</f>
        <v>200</v>
      </c>
    </row>
    <row r="62" spans="1:4">
      <c r="A62" s="13" t="s">
        <v>59</v>
      </c>
      <c r="B62" s="12">
        <v>350</v>
      </c>
      <c r="C62" s="15">
        <v>2</v>
      </c>
      <c r="D62" s="16">
        <f t="shared" si="3"/>
        <v>700</v>
      </c>
    </row>
    <row r="63" spans="1:4">
      <c r="A63" s="13" t="s">
        <v>10</v>
      </c>
      <c r="B63" s="12">
        <v>0</v>
      </c>
      <c r="C63" s="15">
        <v>3</v>
      </c>
      <c r="D63" s="16">
        <f t="shared" si="3"/>
        <v>0</v>
      </c>
    </row>
    <row r="64" spans="1:4">
      <c r="A64" s="13" t="s">
        <v>11</v>
      </c>
      <c r="B64" s="12">
        <v>0</v>
      </c>
      <c r="C64" s="15">
        <v>4</v>
      </c>
      <c r="D64" s="16">
        <f t="shared" si="3"/>
        <v>0</v>
      </c>
    </row>
    <row r="65" spans="1:4">
      <c r="A65" s="13" t="s">
        <v>12</v>
      </c>
      <c r="B65" s="12">
        <v>0</v>
      </c>
      <c r="C65" s="15">
        <v>5</v>
      </c>
      <c r="D65" s="16">
        <f t="shared" si="3"/>
        <v>0</v>
      </c>
    </row>
    <row r="66" spans="1:4">
      <c r="A66" s="13" t="s">
        <v>60</v>
      </c>
      <c r="B66" s="12">
        <v>0</v>
      </c>
      <c r="C66" s="15">
        <v>6</v>
      </c>
      <c r="D66" s="16">
        <f t="shared" si="3"/>
        <v>0</v>
      </c>
    </row>
    <row r="67" spans="1:4">
      <c r="A67" s="13" t="s">
        <v>14</v>
      </c>
      <c r="B67" s="12">
        <v>0</v>
      </c>
      <c r="C67" s="15">
        <v>7</v>
      </c>
      <c r="D67" s="16">
        <f t="shared" si="3"/>
        <v>0</v>
      </c>
    </row>
    <row r="68" spans="1:4">
      <c r="A68" s="13" t="s">
        <v>15</v>
      </c>
      <c r="B68" s="12">
        <v>0</v>
      </c>
      <c r="C68" s="15">
        <v>8</v>
      </c>
      <c r="D68" s="16">
        <f t="shared" si="3"/>
        <v>0</v>
      </c>
    </row>
    <row r="69" spans="1:4">
      <c r="A69" s="13" t="s">
        <v>17</v>
      </c>
      <c r="B69" s="12">
        <v>0</v>
      </c>
      <c r="C69" s="15">
        <v>9</v>
      </c>
      <c r="D69" s="16">
        <f t="shared" si="3"/>
        <v>0</v>
      </c>
    </row>
    <row r="70" spans="1:4">
      <c r="A70" s="13" t="s">
        <v>31</v>
      </c>
      <c r="B70" s="12">
        <v>400</v>
      </c>
      <c r="C70" s="15">
        <v>10</v>
      </c>
      <c r="D70" s="16">
        <f t="shared" si="3"/>
        <v>4000</v>
      </c>
    </row>
    <row r="71" spans="1:4">
      <c r="A71" s="13" t="s">
        <v>19</v>
      </c>
      <c r="B71" s="12">
        <v>0</v>
      </c>
      <c r="C71" s="15">
        <v>11</v>
      </c>
      <c r="D71" s="16">
        <f t="shared" si="3"/>
        <v>0</v>
      </c>
    </row>
    <row r="72" spans="1:4">
      <c r="A72" s="11" t="s">
        <v>61</v>
      </c>
      <c r="B72" s="12">
        <v>700</v>
      </c>
      <c r="C72" s="15">
        <v>12</v>
      </c>
      <c r="D72" s="16">
        <f t="shared" si="3"/>
        <v>8400</v>
      </c>
    </row>
    <row r="73" spans="1:4">
      <c r="A73" s="13" t="s">
        <v>20</v>
      </c>
      <c r="B73" s="12">
        <v>0</v>
      </c>
      <c r="C73" s="15">
        <v>13</v>
      </c>
      <c r="D73" s="16">
        <f t="shared" si="3"/>
        <v>0</v>
      </c>
    </row>
    <row r="74" spans="1:4">
      <c r="A74" s="13" t="s">
        <v>32</v>
      </c>
      <c r="B74" s="12">
        <v>300</v>
      </c>
      <c r="C74" s="15">
        <v>14</v>
      </c>
      <c r="D74" s="16">
        <f t="shared" si="3"/>
        <v>4200</v>
      </c>
    </row>
    <row r="75" spans="1:4">
      <c r="A75" s="13" t="s">
        <v>33</v>
      </c>
      <c r="B75" s="12">
        <v>600</v>
      </c>
      <c r="C75" s="15">
        <v>15</v>
      </c>
      <c r="D75" s="16">
        <f t="shared" si="3"/>
        <v>9000</v>
      </c>
    </row>
    <row r="76" spans="1:4">
      <c r="A76" s="13" t="s">
        <v>34</v>
      </c>
      <c r="B76" s="12">
        <v>150</v>
      </c>
      <c r="C76" s="15">
        <v>16</v>
      </c>
      <c r="D76" s="16">
        <f t="shared" si="3"/>
        <v>2400</v>
      </c>
    </row>
    <row r="77" spans="1:4">
      <c r="A77" s="11" t="s">
        <v>62</v>
      </c>
      <c r="B77" s="12">
        <v>1</v>
      </c>
      <c r="C77" s="15">
        <v>17</v>
      </c>
      <c r="D77" s="16">
        <f t="shared" si="3"/>
        <v>17</v>
      </c>
    </row>
    <row r="78" spans="1:4">
      <c r="A78" s="13" t="s">
        <v>21</v>
      </c>
      <c r="B78" s="12">
        <v>0</v>
      </c>
      <c r="C78" s="15">
        <v>18</v>
      </c>
      <c r="D78" s="16">
        <f t="shared" si="3"/>
        <v>0</v>
      </c>
    </row>
    <row r="79" spans="1:4">
      <c r="A79" s="13" t="s">
        <v>22</v>
      </c>
      <c r="B79" s="12">
        <v>0</v>
      </c>
      <c r="C79" s="15">
        <v>19</v>
      </c>
      <c r="D79" s="16">
        <f t="shared" si="3"/>
        <v>0</v>
      </c>
    </row>
    <row r="80" spans="1:4">
      <c r="A80" s="13" t="s">
        <v>35</v>
      </c>
      <c r="B80" s="12">
        <v>1050</v>
      </c>
      <c r="C80" s="15">
        <v>20</v>
      </c>
      <c r="D80" s="16">
        <f t="shared" si="3"/>
        <v>21000</v>
      </c>
    </row>
    <row r="81" spans="1:4">
      <c r="A81" s="13" t="s">
        <v>36</v>
      </c>
      <c r="B81" s="12">
        <v>400</v>
      </c>
      <c r="C81" s="15">
        <v>21</v>
      </c>
      <c r="D81" s="16">
        <f t="shared" si="3"/>
        <v>8400</v>
      </c>
    </row>
    <row r="82" spans="1:4">
      <c r="A82" s="13" t="s">
        <v>37</v>
      </c>
      <c r="B82" s="12">
        <v>200</v>
      </c>
      <c r="C82" s="15">
        <v>22</v>
      </c>
      <c r="D82" s="16">
        <f t="shared" si="3"/>
        <v>4400</v>
      </c>
    </row>
    <row r="83" spans="1:4">
      <c r="A83" s="13" t="s">
        <v>23</v>
      </c>
      <c r="B83" s="12">
        <v>0</v>
      </c>
      <c r="C83" s="15">
        <v>23</v>
      </c>
      <c r="D83" s="16">
        <f t="shared" si="3"/>
        <v>0</v>
      </c>
    </row>
    <row r="84" spans="1:4">
      <c r="A84" s="13" t="s">
        <v>63</v>
      </c>
      <c r="B84" s="12">
        <v>200</v>
      </c>
      <c r="C84" s="15">
        <v>24</v>
      </c>
      <c r="D84" s="16">
        <f t="shared" si="3"/>
        <v>4800</v>
      </c>
    </row>
    <row r="85" spans="1:4">
      <c r="A85" s="13" t="s">
        <v>48</v>
      </c>
      <c r="B85" s="12">
        <v>0</v>
      </c>
      <c r="C85" s="15">
        <v>25</v>
      </c>
      <c r="D85" s="16">
        <f t="shared" si="3"/>
        <v>0</v>
      </c>
    </row>
    <row r="86" spans="1:4">
      <c r="A86" s="13" t="s">
        <v>38</v>
      </c>
      <c r="B86" s="12">
        <v>100</v>
      </c>
      <c r="C86" s="15">
        <v>26</v>
      </c>
      <c r="D86" s="16">
        <f t="shared" si="3"/>
        <v>2600</v>
      </c>
    </row>
    <row r="87" spans="1:4">
      <c r="A87" s="13" t="s">
        <v>39</v>
      </c>
      <c r="B87" s="12">
        <v>350</v>
      </c>
      <c r="C87" s="15">
        <v>27</v>
      </c>
      <c r="D87" s="16">
        <f t="shared" si="3"/>
        <v>9450</v>
      </c>
    </row>
    <row r="88" spans="1:4">
      <c r="A88" s="11" t="s">
        <v>64</v>
      </c>
      <c r="B88" s="12">
        <v>150</v>
      </c>
      <c r="C88" s="15">
        <v>28</v>
      </c>
      <c r="D88" s="16">
        <f t="shared" si="3"/>
        <v>4200</v>
      </c>
    </row>
    <row r="89" spans="1:4">
      <c r="A89" s="13" t="s">
        <v>24</v>
      </c>
      <c r="B89" s="12">
        <v>0</v>
      </c>
      <c r="C89" s="15">
        <v>29</v>
      </c>
      <c r="D89" s="16">
        <f t="shared" si="3"/>
        <v>0</v>
      </c>
    </row>
    <row r="90" spans="1:4">
      <c r="A90" s="13" t="s">
        <v>26</v>
      </c>
      <c r="B90" s="12">
        <v>0</v>
      </c>
      <c r="C90" s="15">
        <v>30</v>
      </c>
      <c r="D90" s="16">
        <f t="shared" si="3"/>
        <v>0</v>
      </c>
    </row>
    <row r="91" spans="1:4">
      <c r="A91" s="11" t="s">
        <v>65</v>
      </c>
      <c r="B91" s="12">
        <v>1200</v>
      </c>
      <c r="C91" s="15">
        <v>31</v>
      </c>
      <c r="D91" s="16">
        <f t="shared" si="3"/>
        <v>37200</v>
      </c>
    </row>
    <row r="92" spans="1:4">
      <c r="A92" s="13" t="s">
        <v>28</v>
      </c>
      <c r="B92" s="12">
        <v>0</v>
      </c>
      <c r="C92" s="15">
        <v>32</v>
      </c>
      <c r="D92" s="16">
        <f t="shared" si="3"/>
        <v>0</v>
      </c>
    </row>
    <row r="93" spans="1:4">
      <c r="A93" s="11" t="s">
        <v>49</v>
      </c>
      <c r="B93" s="12">
        <v>0</v>
      </c>
      <c r="C93" s="15">
        <v>33</v>
      </c>
      <c r="D93" s="16">
        <f t="shared" si="3"/>
        <v>0</v>
      </c>
    </row>
    <row r="94" spans="1:4">
      <c r="A94" s="13" t="s">
        <v>29</v>
      </c>
      <c r="B94" s="12">
        <v>0</v>
      </c>
      <c r="C94" s="15">
        <v>34</v>
      </c>
      <c r="D94" s="16">
        <f t="shared" si="3"/>
        <v>0</v>
      </c>
    </row>
    <row r="95" spans="1:4">
      <c r="A95" s="11" t="s">
        <v>66</v>
      </c>
      <c r="B95" s="12">
        <v>200</v>
      </c>
      <c r="C95" s="15">
        <v>35</v>
      </c>
      <c r="D95" s="16">
        <f t="shared" si="3"/>
        <v>7000</v>
      </c>
    </row>
    <row r="96" spans="1:4" ht="15" thickBot="1">
      <c r="A96" s="6"/>
      <c r="B96" s="7"/>
    </row>
    <row r="97" spans="1:2" ht="15" thickTop="1">
      <c r="A97" s="5"/>
      <c r="B97" s="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J97"/>
  <sheetViews>
    <sheetView topLeftCell="A76" workbookViewId="0">
      <selection activeCell="C1" sqref="C1:D95"/>
    </sheetView>
  </sheetViews>
  <sheetFormatPr baseColWidth="10" defaultRowHeight="14.25"/>
  <cols>
    <col min="1" max="1" width="46.875" customWidth="1"/>
    <col min="2" max="3" width="12.625" style="3" customWidth="1"/>
    <col min="4" max="4" width="14.5" customWidth="1"/>
    <col min="5" max="7" width="10.625" customWidth="1"/>
    <col min="8" max="8" width="12.125" customWidth="1"/>
    <col min="9" max="9" width="10.625" customWidth="1"/>
    <col min="10" max="10" width="14.5" customWidth="1"/>
  </cols>
  <sheetData>
    <row r="1" spans="1:10">
      <c r="A1" s="9" t="s">
        <v>41</v>
      </c>
      <c r="B1" s="10"/>
      <c r="C1" s="15" t="s">
        <v>69</v>
      </c>
      <c r="D1" t="s">
        <v>70</v>
      </c>
    </row>
    <row r="2" spans="1:10">
      <c r="A2" s="11" t="s">
        <v>43</v>
      </c>
      <c r="B2" s="12">
        <v>200</v>
      </c>
      <c r="C2" s="15">
        <v>7.0000000000000007E-2</v>
      </c>
      <c r="D2" s="16">
        <f>B2*C2</f>
        <v>14.000000000000002</v>
      </c>
    </row>
    <row r="3" spans="1:10">
      <c r="A3" s="13" t="s">
        <v>0</v>
      </c>
      <c r="B3" s="12">
        <v>4350</v>
      </c>
      <c r="C3" s="15">
        <v>0</v>
      </c>
      <c r="D3" s="16">
        <f>B3*C3</f>
        <v>0</v>
      </c>
      <c r="H3" s="1"/>
      <c r="I3" s="2"/>
      <c r="J3" s="2"/>
    </row>
    <row r="4" spans="1:10">
      <c r="A4" s="11" t="s">
        <v>44</v>
      </c>
      <c r="B4" s="12">
        <v>1200</v>
      </c>
      <c r="C4" s="15">
        <v>0</v>
      </c>
      <c r="D4" s="16">
        <f t="shared" ref="D4:D29" si="0">B4*C4</f>
        <v>0</v>
      </c>
      <c r="H4" s="1"/>
      <c r="I4" s="2"/>
      <c r="J4" s="2"/>
    </row>
    <row r="5" spans="1:10">
      <c r="A5" s="13" t="s">
        <v>3</v>
      </c>
      <c r="B5" s="12">
        <v>4950</v>
      </c>
      <c r="C5" s="15">
        <v>0</v>
      </c>
      <c r="D5" s="16">
        <f t="shared" si="0"/>
        <v>0</v>
      </c>
      <c r="H5" s="1"/>
      <c r="I5" s="2"/>
      <c r="J5" s="2"/>
    </row>
    <row r="6" spans="1:10">
      <c r="A6" s="13" t="s">
        <v>4</v>
      </c>
      <c r="B6" s="12">
        <v>5750</v>
      </c>
      <c r="C6" s="15">
        <v>0</v>
      </c>
      <c r="D6" s="16">
        <f t="shared" si="0"/>
        <v>0</v>
      </c>
      <c r="H6" s="1"/>
      <c r="I6" s="2"/>
      <c r="J6" s="2"/>
    </row>
    <row r="7" spans="1:10">
      <c r="A7" s="13" t="s">
        <v>5</v>
      </c>
      <c r="B7" s="12">
        <v>10625</v>
      </c>
      <c r="C7" s="15">
        <v>0</v>
      </c>
      <c r="D7" s="16">
        <f t="shared" si="0"/>
        <v>0</v>
      </c>
      <c r="H7" s="1"/>
      <c r="I7" s="2"/>
      <c r="J7" s="2"/>
    </row>
    <row r="8" spans="1:10">
      <c r="A8" s="13" t="s">
        <v>45</v>
      </c>
      <c r="B8" s="12">
        <v>3900</v>
      </c>
      <c r="C8" s="15">
        <v>0</v>
      </c>
      <c r="D8" s="16">
        <f t="shared" si="0"/>
        <v>0</v>
      </c>
      <c r="H8" s="1"/>
      <c r="I8" s="2"/>
      <c r="J8" s="2"/>
    </row>
    <row r="9" spans="1:10">
      <c r="A9" s="13" t="s">
        <v>46</v>
      </c>
      <c r="B9" s="12">
        <v>4900</v>
      </c>
      <c r="C9" s="15">
        <v>0</v>
      </c>
      <c r="D9" s="16">
        <f t="shared" si="0"/>
        <v>0</v>
      </c>
      <c r="H9" s="1"/>
      <c r="I9" s="2"/>
      <c r="J9" s="2"/>
    </row>
    <row r="10" spans="1:10">
      <c r="A10" s="13" t="s">
        <v>7</v>
      </c>
      <c r="B10" s="12">
        <v>6525</v>
      </c>
      <c r="C10" s="15">
        <v>0</v>
      </c>
      <c r="D10" s="16">
        <f t="shared" si="0"/>
        <v>0</v>
      </c>
      <c r="H10" s="1"/>
      <c r="I10" s="2"/>
      <c r="J10" s="2"/>
    </row>
    <row r="11" spans="1:10">
      <c r="A11" s="13" t="s">
        <v>8</v>
      </c>
      <c r="B11" s="12">
        <v>3850</v>
      </c>
      <c r="C11" s="15">
        <v>0</v>
      </c>
      <c r="D11" s="16">
        <f t="shared" si="0"/>
        <v>0</v>
      </c>
      <c r="H11" s="1"/>
      <c r="I11" s="2"/>
      <c r="J11" s="2"/>
    </row>
    <row r="12" spans="1:10">
      <c r="A12" s="13" t="s">
        <v>10</v>
      </c>
      <c r="B12" s="12">
        <v>7600</v>
      </c>
      <c r="C12" s="15">
        <v>0</v>
      </c>
      <c r="D12" s="16">
        <f t="shared" si="0"/>
        <v>0</v>
      </c>
      <c r="H12" s="1"/>
      <c r="I12" s="2"/>
      <c r="J12" s="2"/>
    </row>
    <row r="13" spans="1:10">
      <c r="A13" s="13" t="s">
        <v>11</v>
      </c>
      <c r="B13" s="12">
        <v>5250</v>
      </c>
      <c r="C13" s="15">
        <v>0</v>
      </c>
      <c r="D13" s="16">
        <f t="shared" si="0"/>
        <v>0</v>
      </c>
      <c r="H13" s="1"/>
      <c r="I13" s="2"/>
      <c r="J13" s="2"/>
    </row>
    <row r="14" spans="1:10">
      <c r="A14" s="13" t="s">
        <v>12</v>
      </c>
      <c r="B14" s="12">
        <v>3400</v>
      </c>
      <c r="C14" s="15">
        <v>0</v>
      </c>
      <c r="D14" s="16">
        <f t="shared" si="0"/>
        <v>0</v>
      </c>
      <c r="H14" s="1"/>
      <c r="I14" s="2"/>
      <c r="J14" s="2"/>
    </row>
    <row r="15" spans="1:10">
      <c r="A15" s="13" t="s">
        <v>47</v>
      </c>
      <c r="B15" s="12">
        <v>6750</v>
      </c>
      <c r="C15" s="15">
        <v>0</v>
      </c>
      <c r="D15" s="16">
        <f t="shared" si="0"/>
        <v>0</v>
      </c>
      <c r="H15" s="1"/>
      <c r="I15" s="2"/>
      <c r="J15" s="2"/>
    </row>
    <row r="16" spans="1:10">
      <c r="A16" s="13" t="s">
        <v>14</v>
      </c>
      <c r="B16" s="12">
        <v>6130</v>
      </c>
      <c r="C16" s="15">
        <v>0</v>
      </c>
      <c r="D16" s="16">
        <f t="shared" si="0"/>
        <v>0</v>
      </c>
      <c r="H16" s="1"/>
      <c r="I16" s="2"/>
      <c r="J16" s="2"/>
    </row>
    <row r="17" spans="1:10">
      <c r="A17" s="13" t="s">
        <v>15</v>
      </c>
      <c r="B17" s="12">
        <v>1175</v>
      </c>
      <c r="C17" s="15">
        <v>0</v>
      </c>
      <c r="D17" s="16">
        <f t="shared" si="0"/>
        <v>0</v>
      </c>
      <c r="H17" s="1"/>
      <c r="I17" s="2"/>
      <c r="J17" s="2"/>
    </row>
    <row r="18" spans="1:10">
      <c r="A18" s="13" t="s">
        <v>17</v>
      </c>
      <c r="B18" s="12">
        <v>950</v>
      </c>
      <c r="C18" s="15">
        <v>0</v>
      </c>
      <c r="D18" s="16">
        <f>B18*C18</f>
        <v>0</v>
      </c>
      <c r="H18" s="1"/>
      <c r="I18" s="2"/>
      <c r="J18" s="2"/>
    </row>
    <row r="19" spans="1:10">
      <c r="A19" s="13" t="s">
        <v>19</v>
      </c>
      <c r="B19" s="12">
        <v>6175</v>
      </c>
      <c r="C19" s="15">
        <v>0</v>
      </c>
      <c r="D19" s="16">
        <f t="shared" si="0"/>
        <v>0</v>
      </c>
      <c r="H19" s="1"/>
      <c r="I19" s="2"/>
      <c r="J19" s="2"/>
    </row>
    <row r="20" spans="1:10">
      <c r="A20" s="13" t="s">
        <v>20</v>
      </c>
      <c r="B20" s="12">
        <v>2300</v>
      </c>
      <c r="C20" s="15">
        <v>0</v>
      </c>
      <c r="D20" s="16">
        <f t="shared" si="0"/>
        <v>0</v>
      </c>
      <c r="H20" s="1"/>
      <c r="I20" s="2"/>
      <c r="J20" s="2"/>
    </row>
    <row r="21" spans="1:10">
      <c r="A21" s="13" t="s">
        <v>21</v>
      </c>
      <c r="B21" s="12">
        <v>2300</v>
      </c>
      <c r="C21" s="15">
        <v>0</v>
      </c>
      <c r="D21" s="16">
        <f t="shared" si="0"/>
        <v>0</v>
      </c>
      <c r="H21" s="1"/>
      <c r="I21" s="2"/>
      <c r="J21" s="2"/>
    </row>
    <row r="22" spans="1:10">
      <c r="A22" s="13" t="s">
        <v>22</v>
      </c>
      <c r="B22" s="12">
        <v>9450</v>
      </c>
      <c r="C22" s="15">
        <v>0</v>
      </c>
      <c r="D22" s="16">
        <f t="shared" si="0"/>
        <v>0</v>
      </c>
      <c r="H22" s="1"/>
      <c r="I22" s="2"/>
      <c r="J22" s="2"/>
    </row>
    <row r="23" spans="1:10">
      <c r="A23" s="13" t="s">
        <v>23</v>
      </c>
      <c r="B23" s="12">
        <v>3525</v>
      </c>
      <c r="C23" s="15">
        <v>0</v>
      </c>
      <c r="D23" s="16">
        <f t="shared" si="0"/>
        <v>0</v>
      </c>
      <c r="H23" s="1"/>
      <c r="I23" s="2"/>
      <c r="J23" s="2"/>
    </row>
    <row r="24" spans="1:10">
      <c r="A24" s="11" t="s">
        <v>48</v>
      </c>
      <c r="B24" s="12">
        <v>2000</v>
      </c>
      <c r="C24" s="15">
        <v>0</v>
      </c>
      <c r="D24" s="16">
        <f t="shared" si="0"/>
        <v>0</v>
      </c>
      <c r="H24" s="1"/>
      <c r="I24" s="2"/>
      <c r="J24" s="2"/>
    </row>
    <row r="25" spans="1:10">
      <c r="A25" s="13" t="s">
        <v>24</v>
      </c>
      <c r="B25" s="12">
        <v>1050</v>
      </c>
      <c r="C25" s="15">
        <v>0</v>
      </c>
      <c r="D25" s="16">
        <f t="shared" si="0"/>
        <v>0</v>
      </c>
      <c r="H25" s="1"/>
      <c r="I25" s="2"/>
      <c r="J25" s="2"/>
    </row>
    <row r="26" spans="1:10">
      <c r="A26" s="13" t="s">
        <v>26</v>
      </c>
      <c r="B26" s="12">
        <v>6200</v>
      </c>
      <c r="C26" s="15">
        <v>0</v>
      </c>
      <c r="D26" s="16">
        <f t="shared" si="0"/>
        <v>0</v>
      </c>
      <c r="H26" s="1"/>
      <c r="I26" s="2"/>
      <c r="J26" s="2"/>
    </row>
    <row r="27" spans="1:10">
      <c r="A27" s="13" t="s">
        <v>28</v>
      </c>
      <c r="B27" s="12">
        <v>1900</v>
      </c>
      <c r="C27" s="15">
        <v>0</v>
      </c>
      <c r="D27" s="16">
        <f t="shared" si="0"/>
        <v>0</v>
      </c>
      <c r="H27" s="1"/>
      <c r="I27" s="2"/>
      <c r="J27" s="2"/>
    </row>
    <row r="28" spans="1:10">
      <c r="A28" s="11" t="s">
        <v>49</v>
      </c>
      <c r="B28" s="12">
        <v>400</v>
      </c>
      <c r="C28" s="15">
        <v>0.1</v>
      </c>
      <c r="D28" s="16">
        <f t="shared" si="0"/>
        <v>40</v>
      </c>
      <c r="H28" s="1"/>
      <c r="I28" s="2"/>
      <c r="J28" s="2"/>
    </row>
    <row r="29" spans="1:10" ht="15" thickBot="1">
      <c r="A29" s="13" t="s">
        <v>29</v>
      </c>
      <c r="B29" s="12">
        <v>4750</v>
      </c>
      <c r="C29" s="15">
        <v>0</v>
      </c>
      <c r="D29" s="16">
        <f t="shared" si="0"/>
        <v>0</v>
      </c>
      <c r="H29" s="1"/>
      <c r="I29" s="2"/>
      <c r="J29" s="2"/>
    </row>
    <row r="30" spans="1:10" ht="15" thickTop="1">
      <c r="A30" s="10"/>
      <c r="B30" s="14">
        <v>117555</v>
      </c>
      <c r="C30" s="15"/>
      <c r="H30" s="1"/>
      <c r="I30" s="2"/>
      <c r="J30" s="2"/>
    </row>
    <row r="31" spans="1:10">
      <c r="A31" s="9" t="s">
        <v>42</v>
      </c>
      <c r="B31" s="10"/>
      <c r="C31" s="15"/>
      <c r="H31" s="1"/>
      <c r="I31" s="2"/>
      <c r="J31" s="2"/>
    </row>
    <row r="32" spans="1:10">
      <c r="A32" s="13" t="s">
        <v>1</v>
      </c>
      <c r="B32" s="12">
        <v>100</v>
      </c>
      <c r="C32" s="15" t="s">
        <v>69</v>
      </c>
      <c r="D32" t="s">
        <v>70</v>
      </c>
      <c r="H32" s="1"/>
      <c r="I32" s="2"/>
      <c r="J32" s="2"/>
    </row>
    <row r="33" spans="1:10">
      <c r="A33" s="13" t="s">
        <v>2</v>
      </c>
      <c r="B33" s="12">
        <v>150</v>
      </c>
      <c r="C33" s="15">
        <v>7.0000000000000007E-2</v>
      </c>
      <c r="D33" s="16">
        <f>B33*C33</f>
        <v>10.500000000000002</v>
      </c>
      <c r="H33" s="1"/>
      <c r="I33" s="2"/>
      <c r="J33" s="2"/>
    </row>
    <row r="34" spans="1:10">
      <c r="A34" s="13" t="s">
        <v>43</v>
      </c>
      <c r="B34" s="12">
        <v>200</v>
      </c>
      <c r="C34" s="15">
        <v>0</v>
      </c>
      <c r="D34" s="16">
        <f>B34*C34</f>
        <v>0</v>
      </c>
      <c r="H34" s="1"/>
      <c r="I34" s="2"/>
      <c r="J34" s="2"/>
    </row>
    <row r="35" spans="1:10">
      <c r="A35" s="13" t="s">
        <v>50</v>
      </c>
      <c r="B35" s="12">
        <v>100</v>
      </c>
      <c r="C35" s="15">
        <v>0</v>
      </c>
      <c r="D35" s="16">
        <f t="shared" ref="D35:D48" si="1">B35*C35</f>
        <v>0</v>
      </c>
      <c r="H35" s="1"/>
      <c r="I35" s="2"/>
      <c r="J35" s="2"/>
    </row>
    <row r="36" spans="1:10">
      <c r="A36" s="13" t="s">
        <v>6</v>
      </c>
      <c r="B36" s="12">
        <v>725</v>
      </c>
      <c r="C36" s="15">
        <v>0</v>
      </c>
      <c r="D36" s="16">
        <f t="shared" si="1"/>
        <v>0</v>
      </c>
      <c r="H36" s="1"/>
      <c r="I36" s="2"/>
      <c r="J36" s="2"/>
    </row>
    <row r="37" spans="1:10">
      <c r="A37" s="13" t="s">
        <v>51</v>
      </c>
      <c r="B37" s="12">
        <v>100</v>
      </c>
      <c r="C37" s="15">
        <v>0</v>
      </c>
      <c r="D37" s="16">
        <f t="shared" si="1"/>
        <v>0</v>
      </c>
      <c r="H37" s="1"/>
      <c r="I37" s="2"/>
      <c r="J37" s="2"/>
    </row>
    <row r="38" spans="1:10">
      <c r="A38" s="11" t="s">
        <v>52</v>
      </c>
      <c r="B38" s="12">
        <v>650</v>
      </c>
      <c r="C38" s="15">
        <v>0</v>
      </c>
      <c r="D38" s="16">
        <f t="shared" si="1"/>
        <v>0</v>
      </c>
      <c r="H38" s="1"/>
      <c r="I38" s="2"/>
      <c r="J38" s="2"/>
    </row>
    <row r="39" spans="1:10">
      <c r="A39" s="13" t="s">
        <v>0</v>
      </c>
      <c r="B39" s="12">
        <v>0</v>
      </c>
      <c r="C39" s="15">
        <v>0</v>
      </c>
      <c r="D39" s="16">
        <f t="shared" si="1"/>
        <v>0</v>
      </c>
      <c r="H39" s="1"/>
      <c r="I39" s="2"/>
      <c r="J39" s="2"/>
    </row>
    <row r="40" spans="1:10" ht="25.5">
      <c r="A40" s="13" t="s">
        <v>9</v>
      </c>
      <c r="B40" s="12">
        <v>500</v>
      </c>
      <c r="C40" s="15">
        <v>0</v>
      </c>
      <c r="D40" s="16">
        <f t="shared" si="1"/>
        <v>0</v>
      </c>
      <c r="H40" s="1"/>
      <c r="I40" s="2"/>
      <c r="J40" s="2"/>
    </row>
    <row r="41" spans="1:10">
      <c r="A41" s="13" t="s">
        <v>44</v>
      </c>
      <c r="B41" s="12">
        <v>0</v>
      </c>
      <c r="C41" s="15">
        <v>0</v>
      </c>
      <c r="D41" s="16">
        <f t="shared" si="1"/>
        <v>0</v>
      </c>
      <c r="H41" s="1"/>
      <c r="I41" s="2"/>
      <c r="J41" s="2"/>
    </row>
    <row r="42" spans="1:10">
      <c r="A42" s="13" t="s">
        <v>3</v>
      </c>
      <c r="B42" s="12">
        <v>0</v>
      </c>
      <c r="C42" s="15">
        <v>0</v>
      </c>
      <c r="D42" s="16">
        <f t="shared" si="1"/>
        <v>0</v>
      </c>
      <c r="H42" s="1"/>
      <c r="I42" s="2"/>
      <c r="J42" s="2"/>
    </row>
    <row r="43" spans="1:10">
      <c r="A43" s="13" t="s">
        <v>13</v>
      </c>
      <c r="B43" s="12">
        <v>200</v>
      </c>
      <c r="C43" s="15">
        <v>0</v>
      </c>
      <c r="D43" s="16">
        <f t="shared" si="1"/>
        <v>0</v>
      </c>
      <c r="H43" s="1"/>
      <c r="I43" s="2"/>
      <c r="J43" s="2"/>
    </row>
    <row r="44" spans="1:10">
      <c r="A44" s="13" t="s">
        <v>4</v>
      </c>
      <c r="B44" s="12">
        <v>0</v>
      </c>
      <c r="C44" s="15">
        <v>0</v>
      </c>
      <c r="D44" s="16">
        <f t="shared" si="1"/>
        <v>0</v>
      </c>
      <c r="H44" s="1"/>
      <c r="I44" s="2"/>
      <c r="J44" s="2"/>
    </row>
    <row r="45" spans="1:10">
      <c r="A45" s="13" t="s">
        <v>5</v>
      </c>
      <c r="B45" s="12">
        <v>0</v>
      </c>
      <c r="C45" s="15">
        <v>0</v>
      </c>
      <c r="D45" s="16">
        <f t="shared" si="1"/>
        <v>0</v>
      </c>
      <c r="H45" s="1"/>
      <c r="I45" s="2"/>
      <c r="J45" s="2"/>
    </row>
    <row r="46" spans="1:10">
      <c r="A46" s="13" t="s">
        <v>16</v>
      </c>
      <c r="B46" s="12">
        <v>400</v>
      </c>
      <c r="C46" s="15">
        <v>0</v>
      </c>
      <c r="D46" s="16">
        <f t="shared" si="1"/>
        <v>0</v>
      </c>
      <c r="H46" s="1"/>
      <c r="I46" s="2"/>
      <c r="J46" s="2"/>
    </row>
    <row r="47" spans="1:10">
      <c r="A47" s="13" t="s">
        <v>18</v>
      </c>
      <c r="B47" s="12">
        <v>150</v>
      </c>
      <c r="C47" s="15">
        <v>0</v>
      </c>
      <c r="D47" s="16">
        <f t="shared" si="1"/>
        <v>0</v>
      </c>
      <c r="H47" s="1"/>
      <c r="I47" s="2"/>
      <c r="J47" s="2"/>
    </row>
    <row r="48" spans="1:10">
      <c r="A48" s="11" t="s">
        <v>53</v>
      </c>
      <c r="B48" s="12">
        <v>300</v>
      </c>
      <c r="C48" s="15">
        <v>0</v>
      </c>
      <c r="D48" s="16">
        <f t="shared" si="1"/>
        <v>0</v>
      </c>
      <c r="H48" s="1"/>
      <c r="I48" s="2"/>
      <c r="J48" s="2"/>
    </row>
    <row r="49" spans="1:10">
      <c r="A49" s="13" t="s">
        <v>54</v>
      </c>
      <c r="B49" s="12">
        <v>605</v>
      </c>
      <c r="C49" s="15">
        <v>0</v>
      </c>
      <c r="D49" s="16">
        <f>B49*C49</f>
        <v>0</v>
      </c>
      <c r="H49" s="1"/>
      <c r="I49" s="2"/>
      <c r="J49" s="2"/>
    </row>
    <row r="50" spans="1:10">
      <c r="A50" s="11" t="s">
        <v>55</v>
      </c>
      <c r="B50" s="12">
        <v>1</v>
      </c>
      <c r="C50" s="15">
        <v>0</v>
      </c>
      <c r="D50" s="16">
        <f t="shared" ref="D50:D95" si="2">B50*C50</f>
        <v>0</v>
      </c>
      <c r="H50" s="1"/>
      <c r="I50" s="2"/>
      <c r="J50" s="2"/>
    </row>
    <row r="51" spans="1:10">
      <c r="A51" s="13" t="s">
        <v>45</v>
      </c>
      <c r="B51" s="12">
        <v>0</v>
      </c>
      <c r="C51" s="15">
        <v>0</v>
      </c>
      <c r="D51" s="16">
        <f t="shared" si="2"/>
        <v>0</v>
      </c>
      <c r="H51" s="1"/>
      <c r="I51" s="2"/>
      <c r="J51" s="2"/>
    </row>
    <row r="52" spans="1:10">
      <c r="A52" s="11" t="s">
        <v>56</v>
      </c>
      <c r="B52" s="12">
        <v>105573</v>
      </c>
      <c r="C52" s="15">
        <v>0</v>
      </c>
      <c r="D52" s="16">
        <f t="shared" si="2"/>
        <v>0</v>
      </c>
      <c r="H52" s="1"/>
      <c r="I52" s="2"/>
      <c r="J52" s="2"/>
    </row>
    <row r="53" spans="1:10">
      <c r="A53" s="13" t="s">
        <v>46</v>
      </c>
      <c r="B53" s="12">
        <v>0</v>
      </c>
      <c r="C53" s="15">
        <v>0</v>
      </c>
      <c r="D53" s="16">
        <f t="shared" si="2"/>
        <v>0</v>
      </c>
      <c r="H53" s="1"/>
      <c r="I53" s="2"/>
      <c r="J53" s="2"/>
    </row>
    <row r="54" spans="1:10" ht="25.5">
      <c r="A54" s="13" t="s">
        <v>40</v>
      </c>
      <c r="B54" s="12">
        <v>150</v>
      </c>
      <c r="C54" s="15">
        <v>0</v>
      </c>
      <c r="D54" s="16">
        <f t="shared" si="2"/>
        <v>0</v>
      </c>
      <c r="H54" s="1"/>
      <c r="I54" s="2"/>
      <c r="J54" s="2"/>
    </row>
    <row r="55" spans="1:10">
      <c r="A55" s="13" t="s">
        <v>25</v>
      </c>
      <c r="B55" s="12">
        <v>350</v>
      </c>
      <c r="C55" s="15">
        <v>0</v>
      </c>
      <c r="D55" s="16">
        <f t="shared" si="2"/>
        <v>0</v>
      </c>
      <c r="H55" s="1"/>
      <c r="I55" s="2"/>
      <c r="J55" s="2"/>
    </row>
    <row r="56" spans="1:10">
      <c r="A56" s="13" t="s">
        <v>27</v>
      </c>
      <c r="B56" s="12">
        <v>100</v>
      </c>
      <c r="C56" s="15">
        <v>0</v>
      </c>
      <c r="D56" s="16">
        <f t="shared" si="2"/>
        <v>0</v>
      </c>
      <c r="H56" s="1"/>
      <c r="I56" s="2"/>
      <c r="J56" s="2"/>
    </row>
    <row r="57" spans="1:10">
      <c r="A57" s="11" t="s">
        <v>57</v>
      </c>
      <c r="B57" s="12">
        <v>150</v>
      </c>
      <c r="C57" s="15">
        <v>0</v>
      </c>
      <c r="D57" s="16">
        <f t="shared" si="2"/>
        <v>0</v>
      </c>
      <c r="H57" s="1"/>
      <c r="I57" s="2"/>
      <c r="J57" s="2"/>
    </row>
    <row r="58" spans="1:10">
      <c r="A58" s="13" t="s">
        <v>7</v>
      </c>
      <c r="B58" s="12">
        <v>0</v>
      </c>
      <c r="C58" s="15">
        <v>0</v>
      </c>
      <c r="D58" s="16">
        <f t="shared" si="2"/>
        <v>0</v>
      </c>
      <c r="H58" s="1"/>
      <c r="I58" s="2"/>
      <c r="J58" s="2"/>
    </row>
    <row r="59" spans="1:10">
      <c r="A59" s="13" t="s">
        <v>30</v>
      </c>
      <c r="B59" s="12">
        <v>500</v>
      </c>
      <c r="C59" s="15">
        <v>0.1</v>
      </c>
      <c r="D59" s="16">
        <f t="shared" si="2"/>
        <v>50</v>
      </c>
      <c r="H59" s="1"/>
      <c r="I59" s="2"/>
      <c r="J59" s="2"/>
    </row>
    <row r="60" spans="1:10">
      <c r="A60" s="13" t="s">
        <v>8</v>
      </c>
      <c r="B60" s="12">
        <v>0</v>
      </c>
      <c r="C60" s="15">
        <v>0</v>
      </c>
      <c r="D60" s="16">
        <f t="shared" si="2"/>
        <v>0</v>
      </c>
      <c r="H60" s="1"/>
      <c r="I60" s="2"/>
      <c r="J60" s="2"/>
    </row>
    <row r="61" spans="1:10">
      <c r="A61" s="13" t="s">
        <v>58</v>
      </c>
      <c r="B61" s="12">
        <v>200</v>
      </c>
      <c r="C61" s="15">
        <v>1</v>
      </c>
      <c r="D61" s="16">
        <f t="shared" si="2"/>
        <v>200</v>
      </c>
      <c r="H61" s="1"/>
      <c r="I61" s="2"/>
      <c r="J61" s="2"/>
    </row>
    <row r="62" spans="1:10">
      <c r="A62" s="13" t="s">
        <v>59</v>
      </c>
      <c r="B62" s="12">
        <v>350</v>
      </c>
      <c r="C62" s="15">
        <v>2</v>
      </c>
      <c r="D62" s="16">
        <f t="shared" si="2"/>
        <v>700</v>
      </c>
      <c r="H62" s="1"/>
      <c r="I62" s="2"/>
      <c r="J62" s="2"/>
    </row>
    <row r="63" spans="1:10">
      <c r="A63" s="13" t="s">
        <v>10</v>
      </c>
      <c r="B63" s="12">
        <v>0</v>
      </c>
      <c r="C63" s="15">
        <v>3</v>
      </c>
      <c r="D63" s="16">
        <f t="shared" si="2"/>
        <v>0</v>
      </c>
      <c r="H63" s="1"/>
      <c r="I63" s="2"/>
      <c r="J63" s="2"/>
    </row>
    <row r="64" spans="1:10">
      <c r="A64" s="13" t="s">
        <v>11</v>
      </c>
      <c r="B64" s="12">
        <v>0</v>
      </c>
      <c r="C64" s="15">
        <v>4</v>
      </c>
      <c r="D64" s="16">
        <f t="shared" si="2"/>
        <v>0</v>
      </c>
      <c r="H64" s="1"/>
      <c r="I64" s="2"/>
      <c r="J64" s="2"/>
    </row>
    <row r="65" spans="1:4">
      <c r="A65" s="13" t="s">
        <v>12</v>
      </c>
      <c r="B65" s="12">
        <v>0</v>
      </c>
      <c r="C65" s="15">
        <v>5</v>
      </c>
      <c r="D65" s="16">
        <f t="shared" si="2"/>
        <v>0</v>
      </c>
    </row>
    <row r="66" spans="1:4">
      <c r="A66" s="13" t="s">
        <v>60</v>
      </c>
      <c r="B66" s="12">
        <v>0</v>
      </c>
      <c r="C66" s="15">
        <v>6</v>
      </c>
      <c r="D66" s="16">
        <f t="shared" si="2"/>
        <v>0</v>
      </c>
    </row>
    <row r="67" spans="1:4">
      <c r="A67" s="13" t="s">
        <v>14</v>
      </c>
      <c r="B67" s="12">
        <v>0</v>
      </c>
      <c r="C67" s="15">
        <v>7</v>
      </c>
      <c r="D67" s="16">
        <f t="shared" si="2"/>
        <v>0</v>
      </c>
    </row>
    <row r="68" spans="1:4">
      <c r="A68" s="13" t="s">
        <v>15</v>
      </c>
      <c r="B68" s="12">
        <v>0</v>
      </c>
      <c r="C68" s="15">
        <v>8</v>
      </c>
      <c r="D68" s="16">
        <f t="shared" si="2"/>
        <v>0</v>
      </c>
    </row>
    <row r="69" spans="1:4">
      <c r="A69" s="13" t="s">
        <v>17</v>
      </c>
      <c r="B69" s="12">
        <v>0</v>
      </c>
      <c r="C69" s="15">
        <v>9</v>
      </c>
      <c r="D69" s="16">
        <f t="shared" si="2"/>
        <v>0</v>
      </c>
    </row>
    <row r="70" spans="1:4">
      <c r="A70" s="13" t="s">
        <v>31</v>
      </c>
      <c r="B70" s="12">
        <v>400</v>
      </c>
      <c r="C70" s="15">
        <v>10</v>
      </c>
      <c r="D70" s="16">
        <f t="shared" si="2"/>
        <v>4000</v>
      </c>
    </row>
    <row r="71" spans="1:4">
      <c r="A71" s="13" t="s">
        <v>19</v>
      </c>
      <c r="B71" s="12">
        <v>0</v>
      </c>
      <c r="C71" s="15">
        <v>11</v>
      </c>
      <c r="D71" s="16">
        <f t="shared" si="2"/>
        <v>0</v>
      </c>
    </row>
    <row r="72" spans="1:4">
      <c r="A72" s="11" t="s">
        <v>61</v>
      </c>
      <c r="B72" s="12">
        <v>700</v>
      </c>
      <c r="C72" s="15">
        <v>12</v>
      </c>
      <c r="D72" s="16">
        <f t="shared" si="2"/>
        <v>8400</v>
      </c>
    </row>
    <row r="73" spans="1:4">
      <c r="A73" s="13" t="s">
        <v>20</v>
      </c>
      <c r="B73" s="12">
        <v>0</v>
      </c>
      <c r="C73" s="15">
        <v>13</v>
      </c>
      <c r="D73" s="16">
        <f t="shared" si="2"/>
        <v>0</v>
      </c>
    </row>
    <row r="74" spans="1:4">
      <c r="A74" s="13" t="s">
        <v>32</v>
      </c>
      <c r="B74" s="12">
        <v>300</v>
      </c>
      <c r="C74" s="15">
        <v>14</v>
      </c>
      <c r="D74" s="16">
        <f t="shared" si="2"/>
        <v>4200</v>
      </c>
    </row>
    <row r="75" spans="1:4">
      <c r="A75" s="13" t="s">
        <v>33</v>
      </c>
      <c r="B75" s="12">
        <v>600</v>
      </c>
      <c r="C75" s="15">
        <v>15</v>
      </c>
      <c r="D75" s="16">
        <f t="shared" si="2"/>
        <v>9000</v>
      </c>
    </row>
    <row r="76" spans="1:4">
      <c r="A76" s="13" t="s">
        <v>34</v>
      </c>
      <c r="B76" s="12">
        <v>150</v>
      </c>
      <c r="C76" s="15">
        <v>16</v>
      </c>
      <c r="D76" s="16">
        <f t="shared" si="2"/>
        <v>2400</v>
      </c>
    </row>
    <row r="77" spans="1:4">
      <c r="A77" s="11" t="s">
        <v>62</v>
      </c>
      <c r="B77" s="12">
        <v>1</v>
      </c>
      <c r="C77" s="15">
        <v>17</v>
      </c>
      <c r="D77" s="16">
        <f t="shared" si="2"/>
        <v>17</v>
      </c>
    </row>
    <row r="78" spans="1:4">
      <c r="A78" s="13" t="s">
        <v>21</v>
      </c>
      <c r="B78" s="12">
        <v>0</v>
      </c>
      <c r="C78" s="15">
        <v>18</v>
      </c>
      <c r="D78" s="16">
        <f t="shared" si="2"/>
        <v>0</v>
      </c>
    </row>
    <row r="79" spans="1:4">
      <c r="A79" s="13" t="s">
        <v>22</v>
      </c>
      <c r="B79" s="12">
        <v>0</v>
      </c>
      <c r="C79" s="15">
        <v>19</v>
      </c>
      <c r="D79" s="16">
        <f t="shared" si="2"/>
        <v>0</v>
      </c>
    </row>
    <row r="80" spans="1:4">
      <c r="A80" s="13" t="s">
        <v>35</v>
      </c>
      <c r="B80" s="12">
        <v>1050</v>
      </c>
      <c r="C80" s="15">
        <v>20</v>
      </c>
      <c r="D80" s="16">
        <f t="shared" si="2"/>
        <v>21000</v>
      </c>
    </row>
    <row r="81" spans="1:4">
      <c r="A81" s="13" t="s">
        <v>36</v>
      </c>
      <c r="B81" s="12">
        <v>400</v>
      </c>
      <c r="C81" s="15">
        <v>21</v>
      </c>
      <c r="D81" s="16">
        <f t="shared" si="2"/>
        <v>8400</v>
      </c>
    </row>
    <row r="82" spans="1:4">
      <c r="A82" s="13" t="s">
        <v>37</v>
      </c>
      <c r="B82" s="12">
        <v>200</v>
      </c>
      <c r="C82" s="15">
        <v>22</v>
      </c>
      <c r="D82" s="16">
        <f t="shared" si="2"/>
        <v>4400</v>
      </c>
    </row>
    <row r="83" spans="1:4">
      <c r="A83" s="13" t="s">
        <v>23</v>
      </c>
      <c r="B83" s="12">
        <v>0</v>
      </c>
      <c r="C83" s="15">
        <v>23</v>
      </c>
      <c r="D83" s="16">
        <f t="shared" si="2"/>
        <v>0</v>
      </c>
    </row>
    <row r="84" spans="1:4">
      <c r="A84" s="13" t="s">
        <v>63</v>
      </c>
      <c r="B84" s="12">
        <v>200</v>
      </c>
      <c r="C84" s="15">
        <v>24</v>
      </c>
      <c r="D84" s="16">
        <f t="shared" si="2"/>
        <v>4800</v>
      </c>
    </row>
    <row r="85" spans="1:4">
      <c r="A85" s="13" t="s">
        <v>48</v>
      </c>
      <c r="B85" s="12">
        <v>0</v>
      </c>
      <c r="C85" s="15">
        <v>25</v>
      </c>
      <c r="D85" s="16">
        <f t="shared" si="2"/>
        <v>0</v>
      </c>
    </row>
    <row r="86" spans="1:4">
      <c r="A86" s="13" t="s">
        <v>38</v>
      </c>
      <c r="B86" s="12">
        <v>100</v>
      </c>
      <c r="C86" s="15">
        <v>26</v>
      </c>
      <c r="D86" s="16">
        <f t="shared" si="2"/>
        <v>2600</v>
      </c>
    </row>
    <row r="87" spans="1:4">
      <c r="A87" s="13" t="s">
        <v>39</v>
      </c>
      <c r="B87" s="12">
        <v>350</v>
      </c>
      <c r="C87" s="15">
        <v>27</v>
      </c>
      <c r="D87" s="16">
        <f t="shared" si="2"/>
        <v>9450</v>
      </c>
    </row>
    <row r="88" spans="1:4">
      <c r="A88" s="11" t="s">
        <v>64</v>
      </c>
      <c r="B88" s="12">
        <v>150</v>
      </c>
      <c r="C88" s="15">
        <v>28</v>
      </c>
      <c r="D88" s="16">
        <f t="shared" si="2"/>
        <v>4200</v>
      </c>
    </row>
    <row r="89" spans="1:4">
      <c r="A89" s="13" t="s">
        <v>24</v>
      </c>
      <c r="B89" s="12">
        <v>0</v>
      </c>
      <c r="C89" s="15">
        <v>29</v>
      </c>
      <c r="D89" s="16">
        <f t="shared" si="2"/>
        <v>0</v>
      </c>
    </row>
    <row r="90" spans="1:4">
      <c r="A90" s="13" t="s">
        <v>26</v>
      </c>
      <c r="B90" s="12">
        <v>0</v>
      </c>
      <c r="C90" s="15">
        <v>30</v>
      </c>
      <c r="D90" s="16">
        <f t="shared" si="2"/>
        <v>0</v>
      </c>
    </row>
    <row r="91" spans="1:4">
      <c r="A91" s="11" t="s">
        <v>65</v>
      </c>
      <c r="B91" s="12">
        <v>1200</v>
      </c>
      <c r="C91" s="15">
        <v>31</v>
      </c>
      <c r="D91" s="16">
        <f t="shared" si="2"/>
        <v>37200</v>
      </c>
    </row>
    <row r="92" spans="1:4">
      <c r="A92" s="13" t="s">
        <v>28</v>
      </c>
      <c r="B92" s="12">
        <v>0</v>
      </c>
      <c r="C92" s="15">
        <v>32</v>
      </c>
      <c r="D92" s="16">
        <f t="shared" si="2"/>
        <v>0</v>
      </c>
    </row>
    <row r="93" spans="1:4">
      <c r="A93" s="11" t="s">
        <v>49</v>
      </c>
      <c r="B93" s="12">
        <v>0</v>
      </c>
      <c r="C93" s="15">
        <v>33</v>
      </c>
      <c r="D93" s="16">
        <f t="shared" si="2"/>
        <v>0</v>
      </c>
    </row>
    <row r="94" spans="1:4">
      <c r="A94" s="13" t="s">
        <v>29</v>
      </c>
      <c r="B94" s="12">
        <v>0</v>
      </c>
      <c r="C94" s="15">
        <v>34</v>
      </c>
      <c r="D94" s="16">
        <f t="shared" si="2"/>
        <v>0</v>
      </c>
    </row>
    <row r="95" spans="1:4">
      <c r="A95" s="11" t="s">
        <v>66</v>
      </c>
      <c r="B95" s="12">
        <v>200</v>
      </c>
      <c r="C95" s="15">
        <v>35</v>
      </c>
      <c r="D95" s="16">
        <f t="shared" si="2"/>
        <v>7000</v>
      </c>
    </row>
    <row r="96" spans="1:4" ht="15" thickBot="1">
      <c r="A96" s="6"/>
      <c r="B96" s="7"/>
    </row>
    <row r="97" spans="1:2" ht="15" thickTop="1">
      <c r="A97" s="5"/>
      <c r="B97" s="8"/>
    </row>
  </sheetData>
  <pageMargins left="0" right="0" top="0.39370078740157477" bottom="0.39370078740157477" header="0" footer="0"/>
  <headerFooter>
    <oddHeader>&amp;C&amp;A</oddHeader>
    <oddFooter>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J97"/>
  <sheetViews>
    <sheetView workbookViewId="0">
      <selection activeCell="C1" sqref="C1:D95"/>
    </sheetView>
  </sheetViews>
  <sheetFormatPr baseColWidth="10" defaultRowHeight="14.25"/>
  <cols>
    <col min="1" max="1" width="46.875" customWidth="1"/>
    <col min="2" max="3" width="12.625" style="3" customWidth="1"/>
    <col min="4" max="4" width="14.5" customWidth="1"/>
    <col min="5" max="7" width="10.625" customWidth="1"/>
    <col min="8" max="8" width="12.125" customWidth="1"/>
    <col min="9" max="9" width="10.625" customWidth="1"/>
    <col min="10" max="10" width="14.5" customWidth="1"/>
  </cols>
  <sheetData>
    <row r="1" spans="1:10">
      <c r="A1" s="9" t="s">
        <v>41</v>
      </c>
      <c r="B1" s="10"/>
      <c r="C1" s="15" t="s">
        <v>69</v>
      </c>
      <c r="D1" t="s">
        <v>70</v>
      </c>
    </row>
    <row r="2" spans="1:10">
      <c r="A2" s="11" t="s">
        <v>43</v>
      </c>
      <c r="B2" s="12">
        <v>200</v>
      </c>
      <c r="C2" s="15">
        <v>7.0000000000000007E-2</v>
      </c>
      <c r="D2" s="16">
        <f>B2*C2</f>
        <v>14.000000000000002</v>
      </c>
    </row>
    <row r="3" spans="1:10">
      <c r="A3" s="13" t="s">
        <v>0</v>
      </c>
      <c r="B3" s="12">
        <v>4350</v>
      </c>
      <c r="C3" s="15">
        <v>0</v>
      </c>
      <c r="D3" s="16">
        <f>B3*C3</f>
        <v>0</v>
      </c>
      <c r="H3" s="1"/>
      <c r="I3" s="2"/>
      <c r="J3" s="2"/>
    </row>
    <row r="4" spans="1:10">
      <c r="A4" s="11" t="s">
        <v>44</v>
      </c>
      <c r="B4" s="12">
        <v>1200</v>
      </c>
      <c r="C4" s="15">
        <v>0</v>
      </c>
      <c r="D4" s="16">
        <f t="shared" ref="D4:D29" si="0">B4*C4</f>
        <v>0</v>
      </c>
      <c r="H4" s="1"/>
      <c r="I4" s="2"/>
      <c r="J4" s="2"/>
    </row>
    <row r="5" spans="1:10">
      <c r="A5" s="13" t="s">
        <v>3</v>
      </c>
      <c r="B5" s="12">
        <v>4950</v>
      </c>
      <c r="C5" s="15">
        <v>0</v>
      </c>
      <c r="D5" s="16">
        <f t="shared" si="0"/>
        <v>0</v>
      </c>
      <c r="H5" s="1"/>
      <c r="I5" s="2"/>
      <c r="J5" s="2"/>
    </row>
    <row r="6" spans="1:10">
      <c r="A6" s="13" t="s">
        <v>4</v>
      </c>
      <c r="B6" s="12">
        <v>5750</v>
      </c>
      <c r="C6" s="15">
        <v>0</v>
      </c>
      <c r="D6" s="16">
        <f t="shared" si="0"/>
        <v>0</v>
      </c>
      <c r="H6" s="1"/>
      <c r="I6" s="2"/>
      <c r="J6" s="2"/>
    </row>
    <row r="7" spans="1:10">
      <c r="A7" s="13" t="s">
        <v>5</v>
      </c>
      <c r="B7" s="12">
        <v>10625</v>
      </c>
      <c r="C7" s="15">
        <v>0</v>
      </c>
      <c r="D7" s="16">
        <f t="shared" si="0"/>
        <v>0</v>
      </c>
      <c r="H7" s="1"/>
      <c r="I7" s="2"/>
      <c r="J7" s="2"/>
    </row>
    <row r="8" spans="1:10">
      <c r="A8" s="13" t="s">
        <v>45</v>
      </c>
      <c r="B8" s="12">
        <v>3900</v>
      </c>
      <c r="C8" s="15">
        <v>0</v>
      </c>
      <c r="D8" s="16">
        <f t="shared" si="0"/>
        <v>0</v>
      </c>
      <c r="H8" s="1"/>
      <c r="I8" s="2"/>
      <c r="J8" s="2"/>
    </row>
    <row r="9" spans="1:10">
      <c r="A9" s="13" t="s">
        <v>46</v>
      </c>
      <c r="B9" s="12">
        <v>4900</v>
      </c>
      <c r="C9" s="15">
        <v>0</v>
      </c>
      <c r="D9" s="16">
        <f t="shared" si="0"/>
        <v>0</v>
      </c>
      <c r="H9" s="1"/>
      <c r="I9" s="2"/>
      <c r="J9" s="2"/>
    </row>
    <row r="10" spans="1:10">
      <c r="A10" s="13" t="s">
        <v>7</v>
      </c>
      <c r="B10" s="12">
        <v>6525</v>
      </c>
      <c r="C10" s="15">
        <v>0</v>
      </c>
      <c r="D10" s="16">
        <f t="shared" si="0"/>
        <v>0</v>
      </c>
      <c r="H10" s="1"/>
      <c r="I10" s="2"/>
      <c r="J10" s="2"/>
    </row>
    <row r="11" spans="1:10">
      <c r="A11" s="13" t="s">
        <v>8</v>
      </c>
      <c r="B11" s="12">
        <v>3850</v>
      </c>
      <c r="C11" s="15">
        <v>0</v>
      </c>
      <c r="D11" s="16">
        <f t="shared" si="0"/>
        <v>0</v>
      </c>
      <c r="H11" s="1"/>
      <c r="I11" s="2"/>
      <c r="J11" s="2"/>
    </row>
    <row r="12" spans="1:10">
      <c r="A12" s="13" t="s">
        <v>10</v>
      </c>
      <c r="B12" s="12">
        <v>7600</v>
      </c>
      <c r="C12" s="15">
        <v>0</v>
      </c>
      <c r="D12" s="16">
        <f t="shared" si="0"/>
        <v>0</v>
      </c>
      <c r="H12" s="1"/>
      <c r="I12" s="2"/>
      <c r="J12" s="2"/>
    </row>
    <row r="13" spans="1:10">
      <c r="A13" s="13" t="s">
        <v>11</v>
      </c>
      <c r="B13" s="12">
        <v>5250</v>
      </c>
      <c r="C13" s="15">
        <v>0</v>
      </c>
      <c r="D13" s="16">
        <f t="shared" si="0"/>
        <v>0</v>
      </c>
      <c r="H13" s="1"/>
      <c r="I13" s="2"/>
      <c r="J13" s="2"/>
    </row>
    <row r="14" spans="1:10">
      <c r="A14" s="13" t="s">
        <v>12</v>
      </c>
      <c r="B14" s="12">
        <v>3400</v>
      </c>
      <c r="C14" s="15">
        <v>0</v>
      </c>
      <c r="D14" s="16">
        <f t="shared" si="0"/>
        <v>0</v>
      </c>
      <c r="H14" s="1"/>
      <c r="I14" s="2"/>
      <c r="J14" s="2"/>
    </row>
    <row r="15" spans="1:10">
      <c r="A15" s="13" t="s">
        <v>47</v>
      </c>
      <c r="B15" s="12">
        <v>6750</v>
      </c>
      <c r="C15" s="15">
        <v>0</v>
      </c>
      <c r="D15" s="16">
        <f t="shared" si="0"/>
        <v>0</v>
      </c>
      <c r="H15" s="1"/>
      <c r="I15" s="2"/>
      <c r="J15" s="2"/>
    </row>
    <row r="16" spans="1:10">
      <c r="A16" s="13" t="s">
        <v>14</v>
      </c>
      <c r="B16" s="12">
        <v>6130</v>
      </c>
      <c r="C16" s="15">
        <v>0</v>
      </c>
      <c r="D16" s="16">
        <f t="shared" si="0"/>
        <v>0</v>
      </c>
      <c r="H16" s="1"/>
      <c r="I16" s="2"/>
      <c r="J16" s="2"/>
    </row>
    <row r="17" spans="1:10">
      <c r="A17" s="13" t="s">
        <v>15</v>
      </c>
      <c r="B17" s="12">
        <v>1175</v>
      </c>
      <c r="C17" s="15">
        <v>0</v>
      </c>
      <c r="D17" s="16">
        <f t="shared" si="0"/>
        <v>0</v>
      </c>
      <c r="H17" s="1"/>
      <c r="I17" s="2"/>
      <c r="J17" s="2"/>
    </row>
    <row r="18" spans="1:10">
      <c r="A18" s="13" t="s">
        <v>17</v>
      </c>
      <c r="B18" s="12">
        <v>950</v>
      </c>
      <c r="C18" s="15">
        <v>0</v>
      </c>
      <c r="D18" s="16">
        <f>B18*C18</f>
        <v>0</v>
      </c>
      <c r="H18" s="1"/>
      <c r="I18" s="2"/>
      <c r="J18" s="2"/>
    </row>
    <row r="19" spans="1:10">
      <c r="A19" s="13" t="s">
        <v>19</v>
      </c>
      <c r="B19" s="12">
        <v>6175</v>
      </c>
      <c r="C19" s="15">
        <v>0</v>
      </c>
      <c r="D19" s="16">
        <f t="shared" si="0"/>
        <v>0</v>
      </c>
      <c r="H19" s="1"/>
      <c r="I19" s="2"/>
      <c r="J19" s="2"/>
    </row>
    <row r="20" spans="1:10">
      <c r="A20" s="13" t="s">
        <v>20</v>
      </c>
      <c r="B20" s="12">
        <v>2300</v>
      </c>
      <c r="C20" s="15">
        <v>0</v>
      </c>
      <c r="D20" s="16">
        <f t="shared" si="0"/>
        <v>0</v>
      </c>
      <c r="H20" s="1"/>
      <c r="I20" s="2"/>
      <c r="J20" s="2"/>
    </row>
    <row r="21" spans="1:10">
      <c r="A21" s="13" t="s">
        <v>21</v>
      </c>
      <c r="B21" s="12">
        <v>2300</v>
      </c>
      <c r="C21" s="15">
        <v>0</v>
      </c>
      <c r="D21" s="16">
        <f t="shared" si="0"/>
        <v>0</v>
      </c>
      <c r="H21" s="1"/>
      <c r="I21" s="2"/>
      <c r="J21" s="2"/>
    </row>
    <row r="22" spans="1:10">
      <c r="A22" s="13" t="s">
        <v>22</v>
      </c>
      <c r="B22" s="12">
        <v>9450</v>
      </c>
      <c r="C22" s="15">
        <v>0</v>
      </c>
      <c r="D22" s="16">
        <f t="shared" si="0"/>
        <v>0</v>
      </c>
      <c r="H22" s="1"/>
      <c r="I22" s="2"/>
      <c r="J22" s="2"/>
    </row>
    <row r="23" spans="1:10">
      <c r="A23" s="13" t="s">
        <v>23</v>
      </c>
      <c r="B23" s="12">
        <v>3525</v>
      </c>
      <c r="C23" s="15">
        <v>0</v>
      </c>
      <c r="D23" s="16">
        <f t="shared" si="0"/>
        <v>0</v>
      </c>
      <c r="H23" s="1"/>
      <c r="I23" s="2"/>
      <c r="J23" s="2"/>
    </row>
    <row r="24" spans="1:10">
      <c r="A24" s="11" t="s">
        <v>48</v>
      </c>
      <c r="B24" s="12">
        <v>2000</v>
      </c>
      <c r="C24" s="15">
        <v>0</v>
      </c>
      <c r="D24" s="16">
        <f t="shared" si="0"/>
        <v>0</v>
      </c>
      <c r="H24" s="1"/>
      <c r="I24" s="2"/>
      <c r="J24" s="2"/>
    </row>
    <row r="25" spans="1:10">
      <c r="A25" s="13" t="s">
        <v>24</v>
      </c>
      <c r="B25" s="12">
        <v>1050</v>
      </c>
      <c r="C25" s="15">
        <v>0</v>
      </c>
      <c r="D25" s="16">
        <f t="shared" si="0"/>
        <v>0</v>
      </c>
      <c r="H25" s="1"/>
      <c r="I25" s="2"/>
      <c r="J25" s="2"/>
    </row>
    <row r="26" spans="1:10">
      <c r="A26" s="13" t="s">
        <v>26</v>
      </c>
      <c r="B26" s="12">
        <v>6200</v>
      </c>
      <c r="C26" s="15">
        <v>0</v>
      </c>
      <c r="D26" s="16">
        <f t="shared" si="0"/>
        <v>0</v>
      </c>
      <c r="H26" s="1"/>
      <c r="I26" s="2"/>
      <c r="J26" s="2"/>
    </row>
    <row r="27" spans="1:10">
      <c r="A27" s="13" t="s">
        <v>28</v>
      </c>
      <c r="B27" s="12">
        <v>1900</v>
      </c>
      <c r="C27" s="15">
        <v>0</v>
      </c>
      <c r="D27" s="16">
        <f t="shared" si="0"/>
        <v>0</v>
      </c>
      <c r="H27" s="1"/>
      <c r="I27" s="2"/>
      <c r="J27" s="2"/>
    </row>
    <row r="28" spans="1:10">
      <c r="A28" s="11" t="s">
        <v>49</v>
      </c>
      <c r="B28" s="12">
        <v>400</v>
      </c>
      <c r="C28" s="15">
        <v>0.1</v>
      </c>
      <c r="D28" s="16">
        <f t="shared" si="0"/>
        <v>40</v>
      </c>
      <c r="H28" s="1"/>
      <c r="I28" s="2"/>
      <c r="J28" s="2"/>
    </row>
    <row r="29" spans="1:10" ht="15" thickBot="1">
      <c r="A29" s="13" t="s">
        <v>29</v>
      </c>
      <c r="B29" s="12">
        <v>4750</v>
      </c>
      <c r="C29" s="15">
        <v>0</v>
      </c>
      <c r="D29" s="16">
        <f t="shared" si="0"/>
        <v>0</v>
      </c>
      <c r="H29" s="1"/>
      <c r="I29" s="2"/>
      <c r="J29" s="2"/>
    </row>
    <row r="30" spans="1:10" ht="15" thickTop="1">
      <c r="A30" s="10"/>
      <c r="B30" s="14">
        <v>117555</v>
      </c>
      <c r="C30" s="15"/>
      <c r="H30" s="1"/>
      <c r="I30" s="2"/>
      <c r="J30" s="2"/>
    </row>
    <row r="31" spans="1:10">
      <c r="A31" s="9" t="s">
        <v>42</v>
      </c>
      <c r="B31" s="10"/>
      <c r="C31" s="15"/>
      <c r="H31" s="1"/>
      <c r="I31" s="2"/>
      <c r="J31" s="2"/>
    </row>
    <row r="32" spans="1:10">
      <c r="A32" s="13" t="s">
        <v>1</v>
      </c>
      <c r="B32" s="12">
        <v>100</v>
      </c>
      <c r="C32" s="15" t="s">
        <v>69</v>
      </c>
      <c r="D32" t="s">
        <v>70</v>
      </c>
      <c r="H32" s="1"/>
      <c r="I32" s="2"/>
      <c r="J32" s="2"/>
    </row>
    <row r="33" spans="1:10">
      <c r="A33" s="13" t="s">
        <v>2</v>
      </c>
      <c r="B33" s="12">
        <v>150</v>
      </c>
      <c r="C33" s="15">
        <v>7.0000000000000007E-2</v>
      </c>
      <c r="D33" s="16">
        <f>B33*C33</f>
        <v>10.500000000000002</v>
      </c>
      <c r="H33" s="1"/>
      <c r="I33" s="2"/>
      <c r="J33" s="2"/>
    </row>
    <row r="34" spans="1:10">
      <c r="A34" s="13" t="s">
        <v>43</v>
      </c>
      <c r="B34" s="12">
        <v>200</v>
      </c>
      <c r="C34" s="15">
        <v>0</v>
      </c>
      <c r="D34" s="16">
        <f>B34*C34</f>
        <v>0</v>
      </c>
      <c r="H34" s="1"/>
      <c r="I34" s="2"/>
      <c r="J34" s="2"/>
    </row>
    <row r="35" spans="1:10">
      <c r="A35" s="13" t="s">
        <v>50</v>
      </c>
      <c r="B35" s="12">
        <v>100</v>
      </c>
      <c r="C35" s="15">
        <v>0</v>
      </c>
      <c r="D35" s="16">
        <f t="shared" ref="D35:D48" si="1">B35*C35</f>
        <v>0</v>
      </c>
      <c r="H35" s="1"/>
      <c r="I35" s="2"/>
      <c r="J35" s="2"/>
    </row>
    <row r="36" spans="1:10">
      <c r="A36" s="13" t="s">
        <v>6</v>
      </c>
      <c r="B36" s="12">
        <v>725</v>
      </c>
      <c r="C36" s="15">
        <v>0</v>
      </c>
      <c r="D36" s="16">
        <f t="shared" si="1"/>
        <v>0</v>
      </c>
      <c r="H36" s="1"/>
      <c r="I36" s="2"/>
      <c r="J36" s="2"/>
    </row>
    <row r="37" spans="1:10">
      <c r="A37" s="13" t="s">
        <v>51</v>
      </c>
      <c r="B37" s="12">
        <v>100</v>
      </c>
      <c r="C37" s="15">
        <v>0</v>
      </c>
      <c r="D37" s="16">
        <f t="shared" si="1"/>
        <v>0</v>
      </c>
      <c r="H37" s="1"/>
      <c r="I37" s="2"/>
      <c r="J37" s="2"/>
    </row>
    <row r="38" spans="1:10">
      <c r="A38" s="11" t="s">
        <v>52</v>
      </c>
      <c r="B38" s="12">
        <v>650</v>
      </c>
      <c r="C38" s="15">
        <v>0</v>
      </c>
      <c r="D38" s="16">
        <f t="shared" si="1"/>
        <v>0</v>
      </c>
      <c r="H38" s="1"/>
      <c r="I38" s="2"/>
      <c r="J38" s="2"/>
    </row>
    <row r="39" spans="1:10">
      <c r="A39" s="13" t="s">
        <v>0</v>
      </c>
      <c r="B39" s="12">
        <v>0</v>
      </c>
      <c r="C39" s="15">
        <v>0</v>
      </c>
      <c r="D39" s="16">
        <f t="shared" si="1"/>
        <v>0</v>
      </c>
      <c r="H39" s="1"/>
      <c r="I39" s="2"/>
      <c r="J39" s="2"/>
    </row>
    <row r="40" spans="1:10" ht="25.5">
      <c r="A40" s="13" t="s">
        <v>9</v>
      </c>
      <c r="B40" s="12">
        <v>500</v>
      </c>
      <c r="C40" s="15">
        <v>0</v>
      </c>
      <c r="D40" s="16">
        <f t="shared" si="1"/>
        <v>0</v>
      </c>
      <c r="H40" s="1"/>
      <c r="I40" s="2"/>
      <c r="J40" s="2"/>
    </row>
    <row r="41" spans="1:10">
      <c r="A41" s="13" t="s">
        <v>44</v>
      </c>
      <c r="B41" s="12">
        <v>0</v>
      </c>
      <c r="C41" s="15">
        <v>0</v>
      </c>
      <c r="D41" s="16">
        <f t="shared" si="1"/>
        <v>0</v>
      </c>
      <c r="H41" s="1"/>
      <c r="I41" s="2"/>
      <c r="J41" s="2"/>
    </row>
    <row r="42" spans="1:10">
      <c r="A42" s="13" t="s">
        <v>3</v>
      </c>
      <c r="B42" s="12">
        <v>0</v>
      </c>
      <c r="C42" s="15">
        <v>0</v>
      </c>
      <c r="D42" s="16">
        <f t="shared" si="1"/>
        <v>0</v>
      </c>
      <c r="H42" s="1"/>
      <c r="I42" s="2"/>
      <c r="J42" s="2"/>
    </row>
    <row r="43" spans="1:10">
      <c r="A43" s="13" t="s">
        <v>13</v>
      </c>
      <c r="B43" s="12">
        <v>200</v>
      </c>
      <c r="C43" s="15">
        <v>0</v>
      </c>
      <c r="D43" s="16">
        <f t="shared" si="1"/>
        <v>0</v>
      </c>
      <c r="H43" s="1"/>
      <c r="I43" s="2"/>
      <c r="J43" s="2"/>
    </row>
    <row r="44" spans="1:10">
      <c r="A44" s="13" t="s">
        <v>4</v>
      </c>
      <c r="B44" s="12">
        <v>0</v>
      </c>
      <c r="C44" s="15">
        <v>0</v>
      </c>
      <c r="D44" s="16">
        <f t="shared" si="1"/>
        <v>0</v>
      </c>
      <c r="H44" s="1"/>
      <c r="I44" s="2"/>
      <c r="J44" s="2"/>
    </row>
    <row r="45" spans="1:10">
      <c r="A45" s="13" t="s">
        <v>5</v>
      </c>
      <c r="B45" s="12">
        <v>0</v>
      </c>
      <c r="C45" s="15">
        <v>0</v>
      </c>
      <c r="D45" s="16">
        <f t="shared" si="1"/>
        <v>0</v>
      </c>
      <c r="H45" s="1"/>
      <c r="I45" s="2"/>
      <c r="J45" s="2"/>
    </row>
    <row r="46" spans="1:10">
      <c r="A46" s="13" t="s">
        <v>16</v>
      </c>
      <c r="B46" s="12">
        <v>400</v>
      </c>
      <c r="C46" s="15">
        <v>0</v>
      </c>
      <c r="D46" s="16">
        <f t="shared" si="1"/>
        <v>0</v>
      </c>
      <c r="H46" s="1"/>
      <c r="I46" s="2"/>
      <c r="J46" s="2"/>
    </row>
    <row r="47" spans="1:10">
      <c r="A47" s="13" t="s">
        <v>18</v>
      </c>
      <c r="B47" s="12">
        <v>150</v>
      </c>
      <c r="C47" s="15">
        <v>0</v>
      </c>
      <c r="D47" s="16">
        <f t="shared" si="1"/>
        <v>0</v>
      </c>
      <c r="H47" s="1"/>
      <c r="I47" s="2"/>
      <c r="J47" s="2"/>
    </row>
    <row r="48" spans="1:10">
      <c r="A48" s="11" t="s">
        <v>53</v>
      </c>
      <c r="B48" s="12">
        <v>300</v>
      </c>
      <c r="C48" s="15">
        <v>0</v>
      </c>
      <c r="D48" s="16">
        <f t="shared" si="1"/>
        <v>0</v>
      </c>
      <c r="H48" s="1"/>
      <c r="I48" s="2"/>
      <c r="J48" s="2"/>
    </row>
    <row r="49" spans="1:10">
      <c r="A49" s="13" t="s">
        <v>54</v>
      </c>
      <c r="B49" s="12">
        <v>605</v>
      </c>
      <c r="C49" s="15">
        <v>0</v>
      </c>
      <c r="D49" s="16">
        <f>B49*C49</f>
        <v>0</v>
      </c>
      <c r="H49" s="1"/>
      <c r="I49" s="2"/>
      <c r="J49" s="2"/>
    </row>
    <row r="50" spans="1:10">
      <c r="A50" s="11" t="s">
        <v>55</v>
      </c>
      <c r="B50" s="12">
        <v>1</v>
      </c>
      <c r="C50" s="15">
        <v>0</v>
      </c>
      <c r="D50" s="16">
        <f t="shared" ref="D50:D95" si="2">B50*C50</f>
        <v>0</v>
      </c>
      <c r="H50" s="1"/>
      <c r="I50" s="2"/>
      <c r="J50" s="2"/>
    </row>
    <row r="51" spans="1:10">
      <c r="A51" s="13" t="s">
        <v>45</v>
      </c>
      <c r="B51" s="12">
        <v>0</v>
      </c>
      <c r="C51" s="15">
        <v>0</v>
      </c>
      <c r="D51" s="16">
        <f t="shared" si="2"/>
        <v>0</v>
      </c>
      <c r="H51" s="1"/>
      <c r="I51" s="2"/>
      <c r="J51" s="2"/>
    </row>
    <row r="52" spans="1:10">
      <c r="A52" s="11" t="s">
        <v>56</v>
      </c>
      <c r="B52" s="12">
        <v>105573</v>
      </c>
      <c r="C52" s="15">
        <v>0</v>
      </c>
      <c r="D52" s="16">
        <f t="shared" si="2"/>
        <v>0</v>
      </c>
      <c r="H52" s="1"/>
      <c r="I52" s="2"/>
      <c r="J52" s="2"/>
    </row>
    <row r="53" spans="1:10">
      <c r="A53" s="13" t="s">
        <v>46</v>
      </c>
      <c r="B53" s="12">
        <v>0</v>
      </c>
      <c r="C53" s="15">
        <v>0</v>
      </c>
      <c r="D53" s="16">
        <f t="shared" si="2"/>
        <v>0</v>
      </c>
      <c r="H53" s="1"/>
      <c r="I53" s="2"/>
      <c r="J53" s="2"/>
    </row>
    <row r="54" spans="1:10" ht="25.5">
      <c r="A54" s="13" t="s">
        <v>40</v>
      </c>
      <c r="B54" s="12">
        <v>150</v>
      </c>
      <c r="C54" s="15">
        <v>0</v>
      </c>
      <c r="D54" s="16">
        <f t="shared" si="2"/>
        <v>0</v>
      </c>
      <c r="H54" s="1"/>
      <c r="I54" s="2"/>
      <c r="J54" s="2"/>
    </row>
    <row r="55" spans="1:10">
      <c r="A55" s="13" t="s">
        <v>25</v>
      </c>
      <c r="B55" s="12">
        <v>350</v>
      </c>
      <c r="C55" s="15">
        <v>0</v>
      </c>
      <c r="D55" s="16">
        <f t="shared" si="2"/>
        <v>0</v>
      </c>
      <c r="H55" s="1"/>
      <c r="I55" s="2"/>
      <c r="J55" s="2"/>
    </row>
    <row r="56" spans="1:10">
      <c r="A56" s="13" t="s">
        <v>27</v>
      </c>
      <c r="B56" s="12">
        <v>100</v>
      </c>
      <c r="C56" s="15">
        <v>0</v>
      </c>
      <c r="D56" s="16">
        <f t="shared" si="2"/>
        <v>0</v>
      </c>
      <c r="H56" s="1"/>
      <c r="I56" s="2"/>
      <c r="J56" s="2"/>
    </row>
    <row r="57" spans="1:10">
      <c r="A57" s="11" t="s">
        <v>57</v>
      </c>
      <c r="B57" s="12">
        <v>150</v>
      </c>
      <c r="C57" s="15">
        <v>0</v>
      </c>
      <c r="D57" s="16">
        <f t="shared" si="2"/>
        <v>0</v>
      </c>
      <c r="H57" s="1"/>
      <c r="I57" s="2"/>
      <c r="J57" s="2"/>
    </row>
    <row r="58" spans="1:10">
      <c r="A58" s="13" t="s">
        <v>7</v>
      </c>
      <c r="B58" s="12">
        <v>0</v>
      </c>
      <c r="C58" s="15">
        <v>0</v>
      </c>
      <c r="D58" s="16">
        <f t="shared" si="2"/>
        <v>0</v>
      </c>
      <c r="H58" s="1"/>
      <c r="I58" s="2"/>
      <c r="J58" s="2"/>
    </row>
    <row r="59" spans="1:10">
      <c r="A59" s="13" t="s">
        <v>30</v>
      </c>
      <c r="B59" s="12">
        <v>500</v>
      </c>
      <c r="C59" s="15">
        <v>0.1</v>
      </c>
      <c r="D59" s="16">
        <f t="shared" si="2"/>
        <v>50</v>
      </c>
      <c r="H59" s="1"/>
      <c r="I59" s="2"/>
      <c r="J59" s="2"/>
    </row>
    <row r="60" spans="1:10">
      <c r="A60" s="13" t="s">
        <v>8</v>
      </c>
      <c r="B60" s="12">
        <v>0</v>
      </c>
      <c r="C60" s="15">
        <v>0</v>
      </c>
      <c r="D60" s="16">
        <f t="shared" si="2"/>
        <v>0</v>
      </c>
      <c r="H60" s="1"/>
      <c r="I60" s="2"/>
      <c r="J60" s="2"/>
    </row>
    <row r="61" spans="1:10">
      <c r="A61" s="13" t="s">
        <v>58</v>
      </c>
      <c r="B61" s="12">
        <v>200</v>
      </c>
      <c r="C61" s="15">
        <v>1</v>
      </c>
      <c r="D61" s="16">
        <f t="shared" si="2"/>
        <v>200</v>
      </c>
      <c r="H61" s="1"/>
      <c r="I61" s="2"/>
      <c r="J61" s="2"/>
    </row>
    <row r="62" spans="1:10">
      <c r="A62" s="13" t="s">
        <v>59</v>
      </c>
      <c r="B62" s="12">
        <v>350</v>
      </c>
      <c r="C62" s="15">
        <v>2</v>
      </c>
      <c r="D62" s="16">
        <f t="shared" si="2"/>
        <v>700</v>
      </c>
      <c r="H62" s="1"/>
      <c r="I62" s="2"/>
      <c r="J62" s="2"/>
    </row>
    <row r="63" spans="1:10">
      <c r="A63" s="13" t="s">
        <v>10</v>
      </c>
      <c r="B63" s="12">
        <v>0</v>
      </c>
      <c r="C63" s="15">
        <v>3</v>
      </c>
      <c r="D63" s="16">
        <f t="shared" si="2"/>
        <v>0</v>
      </c>
      <c r="H63" s="1"/>
      <c r="I63" s="2"/>
      <c r="J63" s="2"/>
    </row>
    <row r="64" spans="1:10">
      <c r="A64" s="13" t="s">
        <v>11</v>
      </c>
      <c r="B64" s="12">
        <v>0</v>
      </c>
      <c r="C64" s="15">
        <v>4</v>
      </c>
      <c r="D64" s="16">
        <f t="shared" si="2"/>
        <v>0</v>
      </c>
      <c r="H64" s="1"/>
      <c r="I64" s="2"/>
      <c r="J64" s="2"/>
    </row>
    <row r="65" spans="1:4">
      <c r="A65" s="13" t="s">
        <v>12</v>
      </c>
      <c r="B65" s="12">
        <v>0</v>
      </c>
      <c r="C65" s="15">
        <v>5</v>
      </c>
      <c r="D65" s="16">
        <f t="shared" si="2"/>
        <v>0</v>
      </c>
    </row>
    <row r="66" spans="1:4">
      <c r="A66" s="13" t="s">
        <v>60</v>
      </c>
      <c r="B66" s="12">
        <v>0</v>
      </c>
      <c r="C66" s="15">
        <v>6</v>
      </c>
      <c r="D66" s="16">
        <f t="shared" si="2"/>
        <v>0</v>
      </c>
    </row>
    <row r="67" spans="1:4">
      <c r="A67" s="13" t="s">
        <v>14</v>
      </c>
      <c r="B67" s="12">
        <v>0</v>
      </c>
      <c r="C67" s="15">
        <v>7</v>
      </c>
      <c r="D67" s="16">
        <f t="shared" si="2"/>
        <v>0</v>
      </c>
    </row>
    <row r="68" spans="1:4">
      <c r="A68" s="13" t="s">
        <v>15</v>
      </c>
      <c r="B68" s="12">
        <v>0</v>
      </c>
      <c r="C68" s="15">
        <v>8</v>
      </c>
      <c r="D68" s="16">
        <f t="shared" si="2"/>
        <v>0</v>
      </c>
    </row>
    <row r="69" spans="1:4">
      <c r="A69" s="13" t="s">
        <v>17</v>
      </c>
      <c r="B69" s="12">
        <v>0</v>
      </c>
      <c r="C69" s="15">
        <v>9</v>
      </c>
      <c r="D69" s="16">
        <f t="shared" si="2"/>
        <v>0</v>
      </c>
    </row>
    <row r="70" spans="1:4">
      <c r="A70" s="13" t="s">
        <v>31</v>
      </c>
      <c r="B70" s="12">
        <v>400</v>
      </c>
      <c r="C70" s="15">
        <v>10</v>
      </c>
      <c r="D70" s="16">
        <f t="shared" si="2"/>
        <v>4000</v>
      </c>
    </row>
    <row r="71" spans="1:4">
      <c r="A71" s="13" t="s">
        <v>19</v>
      </c>
      <c r="B71" s="12">
        <v>0</v>
      </c>
      <c r="C71" s="15">
        <v>11</v>
      </c>
      <c r="D71" s="16">
        <f t="shared" si="2"/>
        <v>0</v>
      </c>
    </row>
    <row r="72" spans="1:4">
      <c r="A72" s="11" t="s">
        <v>61</v>
      </c>
      <c r="B72" s="12">
        <v>700</v>
      </c>
      <c r="C72" s="15">
        <v>12</v>
      </c>
      <c r="D72" s="16">
        <f t="shared" si="2"/>
        <v>8400</v>
      </c>
    </row>
    <row r="73" spans="1:4">
      <c r="A73" s="13" t="s">
        <v>20</v>
      </c>
      <c r="B73" s="12">
        <v>0</v>
      </c>
      <c r="C73" s="15">
        <v>13</v>
      </c>
      <c r="D73" s="16">
        <f t="shared" si="2"/>
        <v>0</v>
      </c>
    </row>
    <row r="74" spans="1:4">
      <c r="A74" s="13" t="s">
        <v>32</v>
      </c>
      <c r="B74" s="12">
        <v>300</v>
      </c>
      <c r="C74" s="15">
        <v>14</v>
      </c>
      <c r="D74" s="16">
        <f t="shared" si="2"/>
        <v>4200</v>
      </c>
    </row>
    <row r="75" spans="1:4">
      <c r="A75" s="13" t="s">
        <v>33</v>
      </c>
      <c r="B75" s="12">
        <v>600</v>
      </c>
      <c r="C75" s="15">
        <v>15</v>
      </c>
      <c r="D75" s="16">
        <f t="shared" si="2"/>
        <v>9000</v>
      </c>
    </row>
    <row r="76" spans="1:4">
      <c r="A76" s="13" t="s">
        <v>34</v>
      </c>
      <c r="B76" s="12">
        <v>150</v>
      </c>
      <c r="C76" s="15">
        <v>16</v>
      </c>
      <c r="D76" s="16">
        <f t="shared" si="2"/>
        <v>2400</v>
      </c>
    </row>
    <row r="77" spans="1:4">
      <c r="A77" s="11" t="s">
        <v>62</v>
      </c>
      <c r="B77" s="12">
        <v>1</v>
      </c>
      <c r="C77" s="15">
        <v>17</v>
      </c>
      <c r="D77" s="16">
        <f t="shared" si="2"/>
        <v>17</v>
      </c>
    </row>
    <row r="78" spans="1:4">
      <c r="A78" s="13" t="s">
        <v>21</v>
      </c>
      <c r="B78" s="12">
        <v>0</v>
      </c>
      <c r="C78" s="15">
        <v>18</v>
      </c>
      <c r="D78" s="16">
        <f t="shared" si="2"/>
        <v>0</v>
      </c>
    </row>
    <row r="79" spans="1:4">
      <c r="A79" s="13" t="s">
        <v>22</v>
      </c>
      <c r="B79" s="12">
        <v>0</v>
      </c>
      <c r="C79" s="15">
        <v>19</v>
      </c>
      <c r="D79" s="16">
        <f t="shared" si="2"/>
        <v>0</v>
      </c>
    </row>
    <row r="80" spans="1:4">
      <c r="A80" s="13" t="s">
        <v>35</v>
      </c>
      <c r="B80" s="12">
        <v>1050</v>
      </c>
      <c r="C80" s="15">
        <v>20</v>
      </c>
      <c r="D80" s="16">
        <f t="shared" si="2"/>
        <v>21000</v>
      </c>
    </row>
    <row r="81" spans="1:4">
      <c r="A81" s="13" t="s">
        <v>36</v>
      </c>
      <c r="B81" s="12">
        <v>400</v>
      </c>
      <c r="C81" s="15">
        <v>21</v>
      </c>
      <c r="D81" s="16">
        <f t="shared" si="2"/>
        <v>8400</v>
      </c>
    </row>
    <row r="82" spans="1:4">
      <c r="A82" s="13" t="s">
        <v>37</v>
      </c>
      <c r="B82" s="12">
        <v>200</v>
      </c>
      <c r="C82" s="15">
        <v>22</v>
      </c>
      <c r="D82" s="16">
        <f t="shared" si="2"/>
        <v>4400</v>
      </c>
    </row>
    <row r="83" spans="1:4">
      <c r="A83" s="13" t="s">
        <v>23</v>
      </c>
      <c r="B83" s="12">
        <v>0</v>
      </c>
      <c r="C83" s="15">
        <v>23</v>
      </c>
      <c r="D83" s="16">
        <f t="shared" si="2"/>
        <v>0</v>
      </c>
    </row>
    <row r="84" spans="1:4">
      <c r="A84" s="13" t="s">
        <v>63</v>
      </c>
      <c r="B84" s="12">
        <v>200</v>
      </c>
      <c r="C84" s="15">
        <v>24</v>
      </c>
      <c r="D84" s="16">
        <f t="shared" si="2"/>
        <v>4800</v>
      </c>
    </row>
    <row r="85" spans="1:4">
      <c r="A85" s="13" t="s">
        <v>48</v>
      </c>
      <c r="B85" s="12">
        <v>0</v>
      </c>
      <c r="C85" s="15">
        <v>25</v>
      </c>
      <c r="D85" s="16">
        <f t="shared" si="2"/>
        <v>0</v>
      </c>
    </row>
    <row r="86" spans="1:4">
      <c r="A86" s="13" t="s">
        <v>38</v>
      </c>
      <c r="B86" s="12">
        <v>100</v>
      </c>
      <c r="C86" s="15">
        <v>26</v>
      </c>
      <c r="D86" s="16">
        <f t="shared" si="2"/>
        <v>2600</v>
      </c>
    </row>
    <row r="87" spans="1:4">
      <c r="A87" s="13" t="s">
        <v>39</v>
      </c>
      <c r="B87" s="12">
        <v>350</v>
      </c>
      <c r="C87" s="15">
        <v>27</v>
      </c>
      <c r="D87" s="16">
        <f t="shared" si="2"/>
        <v>9450</v>
      </c>
    </row>
    <row r="88" spans="1:4">
      <c r="A88" s="11" t="s">
        <v>64</v>
      </c>
      <c r="B88" s="12">
        <v>150</v>
      </c>
      <c r="C88" s="15">
        <v>28</v>
      </c>
      <c r="D88" s="16">
        <f t="shared" si="2"/>
        <v>4200</v>
      </c>
    </row>
    <row r="89" spans="1:4">
      <c r="A89" s="13" t="s">
        <v>24</v>
      </c>
      <c r="B89" s="12">
        <v>0</v>
      </c>
      <c r="C89" s="15">
        <v>29</v>
      </c>
      <c r="D89" s="16">
        <f t="shared" si="2"/>
        <v>0</v>
      </c>
    </row>
    <row r="90" spans="1:4">
      <c r="A90" s="13" t="s">
        <v>26</v>
      </c>
      <c r="B90" s="12">
        <v>0</v>
      </c>
      <c r="C90" s="15">
        <v>30</v>
      </c>
      <c r="D90" s="16">
        <f t="shared" si="2"/>
        <v>0</v>
      </c>
    </row>
    <row r="91" spans="1:4">
      <c r="A91" s="11" t="s">
        <v>65</v>
      </c>
      <c r="B91" s="12">
        <v>1200</v>
      </c>
      <c r="C91" s="15">
        <v>31</v>
      </c>
      <c r="D91" s="16">
        <f t="shared" si="2"/>
        <v>37200</v>
      </c>
    </row>
    <row r="92" spans="1:4">
      <c r="A92" s="13" t="s">
        <v>28</v>
      </c>
      <c r="B92" s="12">
        <v>0</v>
      </c>
      <c r="C92" s="15">
        <v>32</v>
      </c>
      <c r="D92" s="16">
        <f t="shared" si="2"/>
        <v>0</v>
      </c>
    </row>
    <row r="93" spans="1:4">
      <c r="A93" s="11" t="s">
        <v>49</v>
      </c>
      <c r="B93" s="12">
        <v>0</v>
      </c>
      <c r="C93" s="15">
        <v>33</v>
      </c>
      <c r="D93" s="16">
        <f t="shared" si="2"/>
        <v>0</v>
      </c>
    </row>
    <row r="94" spans="1:4">
      <c r="A94" s="13" t="s">
        <v>29</v>
      </c>
      <c r="B94" s="12">
        <v>0</v>
      </c>
      <c r="C94" s="15">
        <v>34</v>
      </c>
      <c r="D94" s="16">
        <f t="shared" si="2"/>
        <v>0</v>
      </c>
    </row>
    <row r="95" spans="1:4">
      <c r="A95" s="11" t="s">
        <v>66</v>
      </c>
      <c r="B95" s="12">
        <v>200</v>
      </c>
      <c r="C95" s="15">
        <v>35</v>
      </c>
      <c r="D95" s="16">
        <f t="shared" si="2"/>
        <v>7000</v>
      </c>
    </row>
    <row r="96" spans="1:4" ht="15" thickBot="1">
      <c r="A96" s="6"/>
      <c r="B96" s="7"/>
    </row>
    <row r="97" spans="1:2" ht="15" thickTop="1">
      <c r="A97" s="5"/>
      <c r="B97" s="8"/>
    </row>
  </sheetData>
  <pageMargins left="0" right="0" top="0.39370078740157477" bottom="0.39370078740157477" header="0" footer="0"/>
  <headerFooter>
    <oddHeader>&amp;C&amp;A</oddHeader>
    <oddFooter>&amp;CPágina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J97"/>
  <sheetViews>
    <sheetView workbookViewId="0">
      <selection activeCell="C1" sqref="C1:D95"/>
    </sheetView>
  </sheetViews>
  <sheetFormatPr baseColWidth="10" defaultRowHeight="14.25"/>
  <cols>
    <col min="1" max="1" width="46.875" customWidth="1"/>
    <col min="2" max="3" width="12.625" style="3" customWidth="1"/>
    <col min="4" max="4" width="14.5" customWidth="1"/>
    <col min="5" max="7" width="10.625" customWidth="1"/>
    <col min="8" max="8" width="12.125" customWidth="1"/>
    <col min="9" max="9" width="10.625" customWidth="1"/>
    <col min="10" max="10" width="14.5" customWidth="1"/>
  </cols>
  <sheetData>
    <row r="1" spans="1:10">
      <c r="A1" s="9" t="s">
        <v>41</v>
      </c>
      <c r="B1" s="10"/>
      <c r="C1" s="15" t="s">
        <v>69</v>
      </c>
      <c r="D1" t="s">
        <v>70</v>
      </c>
    </row>
    <row r="2" spans="1:10">
      <c r="A2" s="11" t="s">
        <v>43</v>
      </c>
      <c r="B2" s="12">
        <v>200</v>
      </c>
      <c r="C2" s="15">
        <v>7.0000000000000007E-2</v>
      </c>
      <c r="D2" s="16">
        <f>B2*C2</f>
        <v>14.000000000000002</v>
      </c>
    </row>
    <row r="3" spans="1:10">
      <c r="A3" s="13" t="s">
        <v>0</v>
      </c>
      <c r="B3" s="12">
        <v>4350</v>
      </c>
      <c r="C3" s="15">
        <v>0</v>
      </c>
      <c r="D3" s="16">
        <f>B3*C3</f>
        <v>0</v>
      </c>
      <c r="H3" s="1"/>
      <c r="I3" s="2"/>
      <c r="J3" s="2"/>
    </row>
    <row r="4" spans="1:10">
      <c r="A4" s="11" t="s">
        <v>44</v>
      </c>
      <c r="B4" s="12">
        <v>1200</v>
      </c>
      <c r="C4" s="15">
        <v>0</v>
      </c>
      <c r="D4" s="16">
        <f t="shared" ref="D4:D29" si="0">B4*C4</f>
        <v>0</v>
      </c>
      <c r="H4" s="1"/>
      <c r="I4" s="2"/>
      <c r="J4" s="2"/>
    </row>
    <row r="5" spans="1:10">
      <c r="A5" s="13" t="s">
        <v>3</v>
      </c>
      <c r="B5" s="12">
        <v>4950</v>
      </c>
      <c r="C5" s="15">
        <v>0</v>
      </c>
      <c r="D5" s="16">
        <f t="shared" si="0"/>
        <v>0</v>
      </c>
      <c r="H5" s="1"/>
      <c r="I5" s="2"/>
      <c r="J5" s="2"/>
    </row>
    <row r="6" spans="1:10">
      <c r="A6" s="13" t="s">
        <v>4</v>
      </c>
      <c r="B6" s="12">
        <v>5750</v>
      </c>
      <c r="C6" s="15">
        <v>0</v>
      </c>
      <c r="D6" s="16">
        <f t="shared" si="0"/>
        <v>0</v>
      </c>
      <c r="H6" s="1"/>
      <c r="I6" s="2"/>
      <c r="J6" s="2"/>
    </row>
    <row r="7" spans="1:10">
      <c r="A7" s="13" t="s">
        <v>5</v>
      </c>
      <c r="B7" s="12">
        <v>10625</v>
      </c>
      <c r="C7" s="15">
        <v>0</v>
      </c>
      <c r="D7" s="16">
        <f t="shared" si="0"/>
        <v>0</v>
      </c>
      <c r="H7" s="1"/>
      <c r="I7" s="2"/>
      <c r="J7" s="2"/>
    </row>
    <row r="8" spans="1:10">
      <c r="A8" s="13" t="s">
        <v>45</v>
      </c>
      <c r="B8" s="12">
        <v>3900</v>
      </c>
      <c r="C8" s="15">
        <v>0</v>
      </c>
      <c r="D8" s="16">
        <f t="shared" si="0"/>
        <v>0</v>
      </c>
      <c r="H8" s="1"/>
      <c r="I8" s="2"/>
      <c r="J8" s="2"/>
    </row>
    <row r="9" spans="1:10">
      <c r="A9" s="13" t="s">
        <v>46</v>
      </c>
      <c r="B9" s="12">
        <v>4900</v>
      </c>
      <c r="C9" s="15">
        <v>0</v>
      </c>
      <c r="D9" s="16">
        <f t="shared" si="0"/>
        <v>0</v>
      </c>
      <c r="H9" s="1"/>
      <c r="I9" s="2"/>
      <c r="J9" s="2"/>
    </row>
    <row r="10" spans="1:10">
      <c r="A10" s="13" t="s">
        <v>7</v>
      </c>
      <c r="B10" s="12">
        <v>6525</v>
      </c>
      <c r="C10" s="15">
        <v>0</v>
      </c>
      <c r="D10" s="16">
        <f t="shared" si="0"/>
        <v>0</v>
      </c>
      <c r="H10" s="1"/>
      <c r="I10" s="2"/>
      <c r="J10" s="2"/>
    </row>
    <row r="11" spans="1:10">
      <c r="A11" s="13" t="s">
        <v>8</v>
      </c>
      <c r="B11" s="12">
        <v>3850</v>
      </c>
      <c r="C11" s="15">
        <v>0</v>
      </c>
      <c r="D11" s="16">
        <f t="shared" si="0"/>
        <v>0</v>
      </c>
      <c r="H11" s="1"/>
      <c r="I11" s="2"/>
      <c r="J11" s="2"/>
    </row>
    <row r="12" spans="1:10">
      <c r="A12" s="13" t="s">
        <v>10</v>
      </c>
      <c r="B12" s="12">
        <v>7600</v>
      </c>
      <c r="C12" s="15">
        <v>0</v>
      </c>
      <c r="D12" s="16">
        <f t="shared" si="0"/>
        <v>0</v>
      </c>
      <c r="H12" s="1"/>
      <c r="I12" s="2"/>
      <c r="J12" s="2"/>
    </row>
    <row r="13" spans="1:10">
      <c r="A13" s="13" t="s">
        <v>11</v>
      </c>
      <c r="B13" s="12">
        <v>5250</v>
      </c>
      <c r="C13" s="15">
        <v>0</v>
      </c>
      <c r="D13" s="16">
        <f t="shared" si="0"/>
        <v>0</v>
      </c>
      <c r="H13" s="1"/>
      <c r="I13" s="2"/>
      <c r="J13" s="2"/>
    </row>
    <row r="14" spans="1:10">
      <c r="A14" s="13" t="s">
        <v>12</v>
      </c>
      <c r="B14" s="12">
        <v>3400</v>
      </c>
      <c r="C14" s="15">
        <v>0</v>
      </c>
      <c r="D14" s="16">
        <f t="shared" si="0"/>
        <v>0</v>
      </c>
      <c r="H14" s="1"/>
      <c r="I14" s="2"/>
      <c r="J14" s="2"/>
    </row>
    <row r="15" spans="1:10">
      <c r="A15" s="13" t="s">
        <v>47</v>
      </c>
      <c r="B15" s="12">
        <v>6750</v>
      </c>
      <c r="C15" s="15">
        <v>0</v>
      </c>
      <c r="D15" s="16">
        <f t="shared" si="0"/>
        <v>0</v>
      </c>
      <c r="H15" s="1"/>
      <c r="I15" s="2"/>
      <c r="J15" s="2"/>
    </row>
    <row r="16" spans="1:10">
      <c r="A16" s="13" t="s">
        <v>14</v>
      </c>
      <c r="B16" s="12">
        <v>6130</v>
      </c>
      <c r="C16" s="15">
        <v>0</v>
      </c>
      <c r="D16" s="16">
        <f t="shared" si="0"/>
        <v>0</v>
      </c>
      <c r="H16" s="1"/>
      <c r="I16" s="2"/>
      <c r="J16" s="2"/>
    </row>
    <row r="17" spans="1:10">
      <c r="A17" s="13" t="s">
        <v>15</v>
      </c>
      <c r="B17" s="12">
        <v>1175</v>
      </c>
      <c r="C17" s="15">
        <v>0</v>
      </c>
      <c r="D17" s="16">
        <f t="shared" si="0"/>
        <v>0</v>
      </c>
      <c r="H17" s="1"/>
      <c r="I17" s="2"/>
      <c r="J17" s="2"/>
    </row>
    <row r="18" spans="1:10">
      <c r="A18" s="13" t="s">
        <v>17</v>
      </c>
      <c r="B18" s="12">
        <v>950</v>
      </c>
      <c r="C18" s="15">
        <v>0</v>
      </c>
      <c r="D18" s="16">
        <f>B18*C18</f>
        <v>0</v>
      </c>
      <c r="H18" s="1"/>
      <c r="I18" s="2"/>
      <c r="J18" s="2"/>
    </row>
    <row r="19" spans="1:10">
      <c r="A19" s="13" t="s">
        <v>19</v>
      </c>
      <c r="B19" s="12">
        <v>6175</v>
      </c>
      <c r="C19" s="15">
        <v>0</v>
      </c>
      <c r="D19" s="16">
        <f t="shared" si="0"/>
        <v>0</v>
      </c>
      <c r="H19" s="1"/>
      <c r="I19" s="2"/>
      <c r="J19" s="2"/>
    </row>
    <row r="20" spans="1:10">
      <c r="A20" s="13" t="s">
        <v>20</v>
      </c>
      <c r="B20" s="12">
        <v>2300</v>
      </c>
      <c r="C20" s="15">
        <v>0</v>
      </c>
      <c r="D20" s="16">
        <f t="shared" si="0"/>
        <v>0</v>
      </c>
      <c r="H20" s="1"/>
      <c r="I20" s="2"/>
      <c r="J20" s="2"/>
    </row>
    <row r="21" spans="1:10">
      <c r="A21" s="13" t="s">
        <v>21</v>
      </c>
      <c r="B21" s="12">
        <v>2300</v>
      </c>
      <c r="C21" s="15">
        <v>0</v>
      </c>
      <c r="D21" s="16">
        <f t="shared" si="0"/>
        <v>0</v>
      </c>
      <c r="H21" s="1"/>
      <c r="I21" s="2"/>
      <c r="J21" s="2"/>
    </row>
    <row r="22" spans="1:10">
      <c r="A22" s="13" t="s">
        <v>22</v>
      </c>
      <c r="B22" s="12">
        <v>9450</v>
      </c>
      <c r="C22" s="15">
        <v>0</v>
      </c>
      <c r="D22" s="16">
        <f t="shared" si="0"/>
        <v>0</v>
      </c>
      <c r="H22" s="1"/>
      <c r="I22" s="2"/>
      <c r="J22" s="2"/>
    </row>
    <row r="23" spans="1:10">
      <c r="A23" s="13" t="s">
        <v>23</v>
      </c>
      <c r="B23" s="12">
        <v>3525</v>
      </c>
      <c r="C23" s="15">
        <v>0</v>
      </c>
      <c r="D23" s="16">
        <f t="shared" si="0"/>
        <v>0</v>
      </c>
      <c r="H23" s="1"/>
      <c r="I23" s="2"/>
      <c r="J23" s="2"/>
    </row>
    <row r="24" spans="1:10">
      <c r="A24" s="11" t="s">
        <v>48</v>
      </c>
      <c r="B24" s="12">
        <v>2000</v>
      </c>
      <c r="C24" s="15">
        <v>0</v>
      </c>
      <c r="D24" s="16">
        <f t="shared" si="0"/>
        <v>0</v>
      </c>
      <c r="H24" s="1"/>
      <c r="I24" s="2"/>
      <c r="J24" s="2"/>
    </row>
    <row r="25" spans="1:10">
      <c r="A25" s="13" t="s">
        <v>24</v>
      </c>
      <c r="B25" s="12">
        <v>1050</v>
      </c>
      <c r="C25" s="15">
        <v>0</v>
      </c>
      <c r="D25" s="16">
        <f t="shared" si="0"/>
        <v>0</v>
      </c>
      <c r="H25" s="1"/>
      <c r="I25" s="2"/>
      <c r="J25" s="2"/>
    </row>
    <row r="26" spans="1:10">
      <c r="A26" s="13" t="s">
        <v>26</v>
      </c>
      <c r="B26" s="12">
        <v>6200</v>
      </c>
      <c r="C26" s="15">
        <v>0</v>
      </c>
      <c r="D26" s="16">
        <f t="shared" si="0"/>
        <v>0</v>
      </c>
      <c r="H26" s="1"/>
      <c r="I26" s="2"/>
      <c r="J26" s="2"/>
    </row>
    <row r="27" spans="1:10">
      <c r="A27" s="13" t="s">
        <v>28</v>
      </c>
      <c r="B27" s="12">
        <v>1900</v>
      </c>
      <c r="C27" s="15">
        <v>0</v>
      </c>
      <c r="D27" s="16">
        <f t="shared" si="0"/>
        <v>0</v>
      </c>
      <c r="H27" s="1"/>
      <c r="I27" s="2"/>
      <c r="J27" s="2"/>
    </row>
    <row r="28" spans="1:10">
      <c r="A28" s="11" t="s">
        <v>49</v>
      </c>
      <c r="B28" s="12">
        <v>400</v>
      </c>
      <c r="C28" s="15">
        <v>0.1</v>
      </c>
      <c r="D28" s="16">
        <f t="shared" si="0"/>
        <v>40</v>
      </c>
      <c r="H28" s="1"/>
      <c r="I28" s="2"/>
      <c r="J28" s="2"/>
    </row>
    <row r="29" spans="1:10" ht="15" thickBot="1">
      <c r="A29" s="13" t="s">
        <v>29</v>
      </c>
      <c r="B29" s="12">
        <v>4750</v>
      </c>
      <c r="C29" s="15">
        <v>0</v>
      </c>
      <c r="D29" s="16">
        <f t="shared" si="0"/>
        <v>0</v>
      </c>
      <c r="H29" s="1"/>
      <c r="I29" s="2"/>
      <c r="J29" s="2"/>
    </row>
    <row r="30" spans="1:10" ht="15" thickTop="1">
      <c r="A30" s="10"/>
      <c r="B30" s="14">
        <v>117555</v>
      </c>
      <c r="C30" s="15"/>
      <c r="H30" s="1"/>
      <c r="I30" s="2"/>
      <c r="J30" s="2"/>
    </row>
    <row r="31" spans="1:10">
      <c r="A31" s="9" t="s">
        <v>42</v>
      </c>
      <c r="B31" s="10"/>
      <c r="C31" s="15"/>
      <c r="H31" s="1"/>
      <c r="I31" s="2"/>
      <c r="J31" s="2"/>
    </row>
    <row r="32" spans="1:10">
      <c r="A32" s="13" t="s">
        <v>1</v>
      </c>
      <c r="B32" s="12">
        <v>100</v>
      </c>
      <c r="C32" s="15" t="s">
        <v>69</v>
      </c>
      <c r="D32" t="s">
        <v>70</v>
      </c>
      <c r="H32" s="1"/>
      <c r="I32" s="2"/>
      <c r="J32" s="2"/>
    </row>
    <row r="33" spans="1:10">
      <c r="A33" s="13" t="s">
        <v>2</v>
      </c>
      <c r="B33" s="12">
        <v>150</v>
      </c>
      <c r="C33" s="15">
        <v>7.0000000000000007E-2</v>
      </c>
      <c r="D33" s="16">
        <f>B33*C33</f>
        <v>10.500000000000002</v>
      </c>
      <c r="H33" s="1"/>
      <c r="I33" s="2"/>
      <c r="J33" s="2"/>
    </row>
    <row r="34" spans="1:10">
      <c r="A34" s="13" t="s">
        <v>43</v>
      </c>
      <c r="B34" s="12">
        <v>200</v>
      </c>
      <c r="C34" s="15">
        <v>0</v>
      </c>
      <c r="D34" s="16">
        <f>B34*C34</f>
        <v>0</v>
      </c>
      <c r="H34" s="1"/>
      <c r="I34" s="2"/>
      <c r="J34" s="2"/>
    </row>
    <row r="35" spans="1:10">
      <c r="A35" s="13" t="s">
        <v>50</v>
      </c>
      <c r="B35" s="12">
        <v>100</v>
      </c>
      <c r="C35" s="15">
        <v>0</v>
      </c>
      <c r="D35" s="16">
        <f t="shared" ref="D35:D48" si="1">B35*C35</f>
        <v>0</v>
      </c>
      <c r="H35" s="1"/>
      <c r="I35" s="2"/>
      <c r="J35" s="2"/>
    </row>
    <row r="36" spans="1:10">
      <c r="A36" s="13" t="s">
        <v>6</v>
      </c>
      <c r="B36" s="12">
        <v>725</v>
      </c>
      <c r="C36" s="15">
        <v>0</v>
      </c>
      <c r="D36" s="16">
        <f t="shared" si="1"/>
        <v>0</v>
      </c>
      <c r="H36" s="1"/>
      <c r="I36" s="2"/>
      <c r="J36" s="2"/>
    </row>
    <row r="37" spans="1:10">
      <c r="A37" s="13" t="s">
        <v>51</v>
      </c>
      <c r="B37" s="12">
        <v>100</v>
      </c>
      <c r="C37" s="15">
        <v>0</v>
      </c>
      <c r="D37" s="16">
        <f t="shared" si="1"/>
        <v>0</v>
      </c>
      <c r="H37" s="1"/>
      <c r="I37" s="2"/>
      <c r="J37" s="2"/>
    </row>
    <row r="38" spans="1:10">
      <c r="A38" s="11" t="s">
        <v>52</v>
      </c>
      <c r="B38" s="12">
        <v>650</v>
      </c>
      <c r="C38" s="15">
        <v>0</v>
      </c>
      <c r="D38" s="16">
        <f t="shared" si="1"/>
        <v>0</v>
      </c>
      <c r="H38" s="1"/>
      <c r="I38" s="2"/>
      <c r="J38" s="2"/>
    </row>
    <row r="39" spans="1:10">
      <c r="A39" s="13" t="s">
        <v>0</v>
      </c>
      <c r="B39" s="12">
        <v>0</v>
      </c>
      <c r="C39" s="15">
        <v>0</v>
      </c>
      <c r="D39" s="16">
        <f t="shared" si="1"/>
        <v>0</v>
      </c>
      <c r="H39" s="1"/>
      <c r="I39" s="2"/>
      <c r="J39" s="2"/>
    </row>
    <row r="40" spans="1:10" ht="25.5">
      <c r="A40" s="13" t="s">
        <v>9</v>
      </c>
      <c r="B40" s="12">
        <v>500</v>
      </c>
      <c r="C40" s="15">
        <v>0</v>
      </c>
      <c r="D40" s="16">
        <f t="shared" si="1"/>
        <v>0</v>
      </c>
      <c r="H40" s="1"/>
      <c r="I40" s="2"/>
      <c r="J40" s="2"/>
    </row>
    <row r="41" spans="1:10">
      <c r="A41" s="13" t="s">
        <v>44</v>
      </c>
      <c r="B41" s="12">
        <v>0</v>
      </c>
      <c r="C41" s="15">
        <v>0</v>
      </c>
      <c r="D41" s="16">
        <f t="shared" si="1"/>
        <v>0</v>
      </c>
      <c r="H41" s="1"/>
      <c r="I41" s="2"/>
      <c r="J41" s="2"/>
    </row>
    <row r="42" spans="1:10">
      <c r="A42" s="13" t="s">
        <v>3</v>
      </c>
      <c r="B42" s="12">
        <v>0</v>
      </c>
      <c r="C42" s="15">
        <v>0</v>
      </c>
      <c r="D42" s="16">
        <f t="shared" si="1"/>
        <v>0</v>
      </c>
      <c r="H42" s="1"/>
      <c r="I42" s="2"/>
      <c r="J42" s="2"/>
    </row>
    <row r="43" spans="1:10">
      <c r="A43" s="13" t="s">
        <v>13</v>
      </c>
      <c r="B43" s="12">
        <v>200</v>
      </c>
      <c r="C43" s="15">
        <v>0</v>
      </c>
      <c r="D43" s="16">
        <f t="shared" si="1"/>
        <v>0</v>
      </c>
      <c r="H43" s="1"/>
      <c r="I43" s="2"/>
      <c r="J43" s="2"/>
    </row>
    <row r="44" spans="1:10">
      <c r="A44" s="13" t="s">
        <v>4</v>
      </c>
      <c r="B44" s="12">
        <v>0</v>
      </c>
      <c r="C44" s="15">
        <v>0</v>
      </c>
      <c r="D44" s="16">
        <f t="shared" si="1"/>
        <v>0</v>
      </c>
      <c r="H44" s="1"/>
      <c r="I44" s="2"/>
      <c r="J44" s="2"/>
    </row>
    <row r="45" spans="1:10">
      <c r="A45" s="13" t="s">
        <v>5</v>
      </c>
      <c r="B45" s="12">
        <v>0</v>
      </c>
      <c r="C45" s="15">
        <v>0</v>
      </c>
      <c r="D45" s="16">
        <f t="shared" si="1"/>
        <v>0</v>
      </c>
      <c r="H45" s="1"/>
      <c r="I45" s="2"/>
      <c r="J45" s="2"/>
    </row>
    <row r="46" spans="1:10">
      <c r="A46" s="13" t="s">
        <v>16</v>
      </c>
      <c r="B46" s="12">
        <v>400</v>
      </c>
      <c r="C46" s="15">
        <v>0</v>
      </c>
      <c r="D46" s="16">
        <f t="shared" si="1"/>
        <v>0</v>
      </c>
      <c r="H46" s="1"/>
      <c r="I46" s="2"/>
      <c r="J46" s="2"/>
    </row>
    <row r="47" spans="1:10">
      <c r="A47" s="13" t="s">
        <v>18</v>
      </c>
      <c r="B47" s="12">
        <v>150</v>
      </c>
      <c r="C47" s="15">
        <v>0</v>
      </c>
      <c r="D47" s="16">
        <f t="shared" si="1"/>
        <v>0</v>
      </c>
      <c r="H47" s="1"/>
      <c r="I47" s="2"/>
      <c r="J47" s="2"/>
    </row>
    <row r="48" spans="1:10">
      <c r="A48" s="11" t="s">
        <v>53</v>
      </c>
      <c r="B48" s="12">
        <v>300</v>
      </c>
      <c r="C48" s="15">
        <v>0</v>
      </c>
      <c r="D48" s="16">
        <f t="shared" si="1"/>
        <v>0</v>
      </c>
      <c r="H48" s="1"/>
      <c r="I48" s="2"/>
      <c r="J48" s="2"/>
    </row>
    <row r="49" spans="1:10">
      <c r="A49" s="13" t="s">
        <v>54</v>
      </c>
      <c r="B49" s="12">
        <v>605</v>
      </c>
      <c r="C49" s="15">
        <v>0</v>
      </c>
      <c r="D49" s="16">
        <f>B49*C49</f>
        <v>0</v>
      </c>
      <c r="H49" s="1"/>
      <c r="I49" s="2"/>
      <c r="J49" s="2"/>
    </row>
    <row r="50" spans="1:10">
      <c r="A50" s="11" t="s">
        <v>55</v>
      </c>
      <c r="B50" s="12">
        <v>1</v>
      </c>
      <c r="C50" s="15">
        <v>0</v>
      </c>
      <c r="D50" s="16">
        <f t="shared" ref="D50:D95" si="2">B50*C50</f>
        <v>0</v>
      </c>
      <c r="H50" s="1"/>
      <c r="I50" s="2"/>
      <c r="J50" s="2"/>
    </row>
    <row r="51" spans="1:10">
      <c r="A51" s="13" t="s">
        <v>45</v>
      </c>
      <c r="B51" s="12">
        <v>0</v>
      </c>
      <c r="C51" s="15">
        <v>0</v>
      </c>
      <c r="D51" s="16">
        <f t="shared" si="2"/>
        <v>0</v>
      </c>
      <c r="H51" s="1"/>
      <c r="I51" s="2"/>
      <c r="J51" s="2"/>
    </row>
    <row r="52" spans="1:10">
      <c r="A52" s="11" t="s">
        <v>56</v>
      </c>
      <c r="B52" s="12">
        <v>105573</v>
      </c>
      <c r="C52" s="15">
        <v>0</v>
      </c>
      <c r="D52" s="16">
        <f t="shared" si="2"/>
        <v>0</v>
      </c>
      <c r="H52" s="1"/>
      <c r="I52" s="2"/>
      <c r="J52" s="2"/>
    </row>
    <row r="53" spans="1:10">
      <c r="A53" s="13" t="s">
        <v>46</v>
      </c>
      <c r="B53" s="12">
        <v>0</v>
      </c>
      <c r="C53" s="15">
        <v>0</v>
      </c>
      <c r="D53" s="16">
        <f t="shared" si="2"/>
        <v>0</v>
      </c>
      <c r="H53" s="1"/>
      <c r="I53" s="2"/>
      <c r="J53" s="2"/>
    </row>
    <row r="54" spans="1:10" ht="25.5">
      <c r="A54" s="13" t="s">
        <v>40</v>
      </c>
      <c r="B54" s="12">
        <v>150</v>
      </c>
      <c r="C54" s="15">
        <v>0</v>
      </c>
      <c r="D54" s="16">
        <f t="shared" si="2"/>
        <v>0</v>
      </c>
      <c r="H54" s="1"/>
      <c r="I54" s="2"/>
      <c r="J54" s="2"/>
    </row>
    <row r="55" spans="1:10">
      <c r="A55" s="13" t="s">
        <v>25</v>
      </c>
      <c r="B55" s="12">
        <v>350</v>
      </c>
      <c r="C55" s="15">
        <v>0</v>
      </c>
      <c r="D55" s="16">
        <f t="shared" si="2"/>
        <v>0</v>
      </c>
      <c r="H55" s="1"/>
      <c r="I55" s="2"/>
      <c r="J55" s="2"/>
    </row>
    <row r="56" spans="1:10">
      <c r="A56" s="13" t="s">
        <v>27</v>
      </c>
      <c r="B56" s="12">
        <v>100</v>
      </c>
      <c r="C56" s="15">
        <v>0</v>
      </c>
      <c r="D56" s="16">
        <f t="shared" si="2"/>
        <v>0</v>
      </c>
      <c r="H56" s="1"/>
      <c r="I56" s="2"/>
      <c r="J56" s="2"/>
    </row>
    <row r="57" spans="1:10">
      <c r="A57" s="11" t="s">
        <v>57</v>
      </c>
      <c r="B57" s="12">
        <v>150</v>
      </c>
      <c r="C57" s="15">
        <v>0</v>
      </c>
      <c r="D57" s="16">
        <f t="shared" si="2"/>
        <v>0</v>
      </c>
      <c r="H57" s="1"/>
      <c r="I57" s="2"/>
      <c r="J57" s="2"/>
    </row>
    <row r="58" spans="1:10">
      <c r="A58" s="13" t="s">
        <v>7</v>
      </c>
      <c r="B58" s="12">
        <v>0</v>
      </c>
      <c r="C58" s="15">
        <v>0</v>
      </c>
      <c r="D58" s="16">
        <f t="shared" si="2"/>
        <v>0</v>
      </c>
      <c r="H58" s="1"/>
      <c r="I58" s="2"/>
      <c r="J58" s="2"/>
    </row>
    <row r="59" spans="1:10">
      <c r="A59" s="13" t="s">
        <v>30</v>
      </c>
      <c r="B59" s="12">
        <v>500</v>
      </c>
      <c r="C59" s="15">
        <v>0.1</v>
      </c>
      <c r="D59" s="16">
        <f t="shared" si="2"/>
        <v>50</v>
      </c>
      <c r="H59" s="1"/>
      <c r="I59" s="2"/>
      <c r="J59" s="2"/>
    </row>
    <row r="60" spans="1:10">
      <c r="A60" s="13" t="s">
        <v>8</v>
      </c>
      <c r="B60" s="12">
        <v>0</v>
      </c>
      <c r="C60" s="15">
        <v>0</v>
      </c>
      <c r="D60" s="16">
        <f t="shared" si="2"/>
        <v>0</v>
      </c>
      <c r="H60" s="1"/>
      <c r="I60" s="2"/>
      <c r="J60" s="2"/>
    </row>
    <row r="61" spans="1:10">
      <c r="A61" s="13" t="s">
        <v>58</v>
      </c>
      <c r="B61" s="12">
        <v>200</v>
      </c>
      <c r="C61" s="15">
        <v>1</v>
      </c>
      <c r="D61" s="16">
        <f t="shared" si="2"/>
        <v>200</v>
      </c>
      <c r="H61" s="1"/>
      <c r="I61" s="2"/>
      <c r="J61" s="2"/>
    </row>
    <row r="62" spans="1:10">
      <c r="A62" s="13" t="s">
        <v>59</v>
      </c>
      <c r="B62" s="12">
        <v>350</v>
      </c>
      <c r="C62" s="15">
        <v>2</v>
      </c>
      <c r="D62" s="16">
        <f t="shared" si="2"/>
        <v>700</v>
      </c>
      <c r="H62" s="1"/>
      <c r="I62" s="2"/>
      <c r="J62" s="2"/>
    </row>
    <row r="63" spans="1:10">
      <c r="A63" s="13" t="s">
        <v>10</v>
      </c>
      <c r="B63" s="12">
        <v>0</v>
      </c>
      <c r="C63" s="15">
        <v>3</v>
      </c>
      <c r="D63" s="16">
        <f t="shared" si="2"/>
        <v>0</v>
      </c>
      <c r="H63" s="1"/>
      <c r="I63" s="2"/>
      <c r="J63" s="2"/>
    </row>
    <row r="64" spans="1:10">
      <c r="A64" s="13" t="s">
        <v>11</v>
      </c>
      <c r="B64" s="12">
        <v>0</v>
      </c>
      <c r="C64" s="15">
        <v>4</v>
      </c>
      <c r="D64" s="16">
        <f t="shared" si="2"/>
        <v>0</v>
      </c>
      <c r="H64" s="1"/>
      <c r="I64" s="2"/>
      <c r="J64" s="2"/>
    </row>
    <row r="65" spans="1:4">
      <c r="A65" s="13" t="s">
        <v>12</v>
      </c>
      <c r="B65" s="12">
        <v>0</v>
      </c>
      <c r="C65" s="15">
        <v>5</v>
      </c>
      <c r="D65" s="16">
        <f t="shared" si="2"/>
        <v>0</v>
      </c>
    </row>
    <row r="66" spans="1:4">
      <c r="A66" s="13" t="s">
        <v>60</v>
      </c>
      <c r="B66" s="12">
        <v>0</v>
      </c>
      <c r="C66" s="15">
        <v>6</v>
      </c>
      <c r="D66" s="16">
        <f t="shared" si="2"/>
        <v>0</v>
      </c>
    </row>
    <row r="67" spans="1:4">
      <c r="A67" s="13" t="s">
        <v>14</v>
      </c>
      <c r="B67" s="12">
        <v>0</v>
      </c>
      <c r="C67" s="15">
        <v>7</v>
      </c>
      <c r="D67" s="16">
        <f t="shared" si="2"/>
        <v>0</v>
      </c>
    </row>
    <row r="68" spans="1:4">
      <c r="A68" s="13" t="s">
        <v>15</v>
      </c>
      <c r="B68" s="12">
        <v>0</v>
      </c>
      <c r="C68" s="15">
        <v>8</v>
      </c>
      <c r="D68" s="16">
        <f t="shared" si="2"/>
        <v>0</v>
      </c>
    </row>
    <row r="69" spans="1:4">
      <c r="A69" s="13" t="s">
        <v>17</v>
      </c>
      <c r="B69" s="12">
        <v>0</v>
      </c>
      <c r="C69" s="15">
        <v>9</v>
      </c>
      <c r="D69" s="16">
        <f t="shared" si="2"/>
        <v>0</v>
      </c>
    </row>
    <row r="70" spans="1:4">
      <c r="A70" s="13" t="s">
        <v>31</v>
      </c>
      <c r="B70" s="12">
        <v>400</v>
      </c>
      <c r="C70" s="15">
        <v>10</v>
      </c>
      <c r="D70" s="16">
        <f t="shared" si="2"/>
        <v>4000</v>
      </c>
    </row>
    <row r="71" spans="1:4">
      <c r="A71" s="13" t="s">
        <v>19</v>
      </c>
      <c r="B71" s="12">
        <v>0</v>
      </c>
      <c r="C71" s="15">
        <v>11</v>
      </c>
      <c r="D71" s="16">
        <f t="shared" si="2"/>
        <v>0</v>
      </c>
    </row>
    <row r="72" spans="1:4">
      <c r="A72" s="11" t="s">
        <v>61</v>
      </c>
      <c r="B72" s="12">
        <v>700</v>
      </c>
      <c r="C72" s="15">
        <v>12</v>
      </c>
      <c r="D72" s="16">
        <f t="shared" si="2"/>
        <v>8400</v>
      </c>
    </row>
    <row r="73" spans="1:4">
      <c r="A73" s="13" t="s">
        <v>20</v>
      </c>
      <c r="B73" s="12">
        <v>0</v>
      </c>
      <c r="C73" s="15">
        <v>13</v>
      </c>
      <c r="D73" s="16">
        <f t="shared" si="2"/>
        <v>0</v>
      </c>
    </row>
    <row r="74" spans="1:4">
      <c r="A74" s="13" t="s">
        <v>32</v>
      </c>
      <c r="B74" s="12">
        <v>300</v>
      </c>
      <c r="C74" s="15">
        <v>14</v>
      </c>
      <c r="D74" s="16">
        <f t="shared" si="2"/>
        <v>4200</v>
      </c>
    </row>
    <row r="75" spans="1:4">
      <c r="A75" s="13" t="s">
        <v>33</v>
      </c>
      <c r="B75" s="12">
        <v>600</v>
      </c>
      <c r="C75" s="15">
        <v>15</v>
      </c>
      <c r="D75" s="16">
        <f t="shared" si="2"/>
        <v>9000</v>
      </c>
    </row>
    <row r="76" spans="1:4">
      <c r="A76" s="13" t="s">
        <v>34</v>
      </c>
      <c r="B76" s="12">
        <v>150</v>
      </c>
      <c r="C76" s="15">
        <v>16</v>
      </c>
      <c r="D76" s="16">
        <f t="shared" si="2"/>
        <v>2400</v>
      </c>
    </row>
    <row r="77" spans="1:4">
      <c r="A77" s="11" t="s">
        <v>62</v>
      </c>
      <c r="B77" s="12">
        <v>1</v>
      </c>
      <c r="C77" s="15">
        <v>17</v>
      </c>
      <c r="D77" s="16">
        <f t="shared" si="2"/>
        <v>17</v>
      </c>
    </row>
    <row r="78" spans="1:4">
      <c r="A78" s="13" t="s">
        <v>21</v>
      </c>
      <c r="B78" s="12">
        <v>0</v>
      </c>
      <c r="C78" s="15">
        <v>18</v>
      </c>
      <c r="D78" s="16">
        <f t="shared" si="2"/>
        <v>0</v>
      </c>
    </row>
    <row r="79" spans="1:4">
      <c r="A79" s="13" t="s">
        <v>22</v>
      </c>
      <c r="B79" s="12">
        <v>0</v>
      </c>
      <c r="C79" s="15">
        <v>19</v>
      </c>
      <c r="D79" s="16">
        <f t="shared" si="2"/>
        <v>0</v>
      </c>
    </row>
    <row r="80" spans="1:4">
      <c r="A80" s="13" t="s">
        <v>35</v>
      </c>
      <c r="B80" s="12">
        <v>1050</v>
      </c>
      <c r="C80" s="15">
        <v>20</v>
      </c>
      <c r="D80" s="16">
        <f t="shared" si="2"/>
        <v>21000</v>
      </c>
    </row>
    <row r="81" spans="1:4">
      <c r="A81" s="13" t="s">
        <v>36</v>
      </c>
      <c r="B81" s="12">
        <v>400</v>
      </c>
      <c r="C81" s="15">
        <v>21</v>
      </c>
      <c r="D81" s="16">
        <f t="shared" si="2"/>
        <v>8400</v>
      </c>
    </row>
    <row r="82" spans="1:4">
      <c r="A82" s="13" t="s">
        <v>37</v>
      </c>
      <c r="B82" s="12">
        <v>200</v>
      </c>
      <c r="C82" s="15">
        <v>22</v>
      </c>
      <c r="D82" s="16">
        <f t="shared" si="2"/>
        <v>4400</v>
      </c>
    </row>
    <row r="83" spans="1:4">
      <c r="A83" s="13" t="s">
        <v>23</v>
      </c>
      <c r="B83" s="12">
        <v>0</v>
      </c>
      <c r="C83" s="15">
        <v>23</v>
      </c>
      <c r="D83" s="16">
        <f t="shared" si="2"/>
        <v>0</v>
      </c>
    </row>
    <row r="84" spans="1:4">
      <c r="A84" s="13" t="s">
        <v>63</v>
      </c>
      <c r="B84" s="12">
        <v>200</v>
      </c>
      <c r="C84" s="15">
        <v>24</v>
      </c>
      <c r="D84" s="16">
        <f t="shared" si="2"/>
        <v>4800</v>
      </c>
    </row>
    <row r="85" spans="1:4">
      <c r="A85" s="13" t="s">
        <v>48</v>
      </c>
      <c r="B85" s="12">
        <v>0</v>
      </c>
      <c r="C85" s="15">
        <v>25</v>
      </c>
      <c r="D85" s="16">
        <f t="shared" si="2"/>
        <v>0</v>
      </c>
    </row>
    <row r="86" spans="1:4">
      <c r="A86" s="13" t="s">
        <v>38</v>
      </c>
      <c r="B86" s="12">
        <v>100</v>
      </c>
      <c r="C86" s="15">
        <v>26</v>
      </c>
      <c r="D86" s="16">
        <f t="shared" si="2"/>
        <v>2600</v>
      </c>
    </row>
    <row r="87" spans="1:4">
      <c r="A87" s="13" t="s">
        <v>39</v>
      </c>
      <c r="B87" s="12">
        <v>350</v>
      </c>
      <c r="C87" s="15">
        <v>27</v>
      </c>
      <c r="D87" s="16">
        <f t="shared" si="2"/>
        <v>9450</v>
      </c>
    </row>
    <row r="88" spans="1:4">
      <c r="A88" s="11" t="s">
        <v>64</v>
      </c>
      <c r="B88" s="12">
        <v>150</v>
      </c>
      <c r="C88" s="15">
        <v>28</v>
      </c>
      <c r="D88" s="16">
        <f t="shared" si="2"/>
        <v>4200</v>
      </c>
    </row>
    <row r="89" spans="1:4">
      <c r="A89" s="13" t="s">
        <v>24</v>
      </c>
      <c r="B89" s="12">
        <v>0</v>
      </c>
      <c r="C89" s="15">
        <v>29</v>
      </c>
      <c r="D89" s="16">
        <f t="shared" si="2"/>
        <v>0</v>
      </c>
    </row>
    <row r="90" spans="1:4">
      <c r="A90" s="13" t="s">
        <v>26</v>
      </c>
      <c r="B90" s="12">
        <v>0</v>
      </c>
      <c r="C90" s="15">
        <v>30</v>
      </c>
      <c r="D90" s="16">
        <f t="shared" si="2"/>
        <v>0</v>
      </c>
    </row>
    <row r="91" spans="1:4">
      <c r="A91" s="11" t="s">
        <v>65</v>
      </c>
      <c r="B91" s="12">
        <v>1200</v>
      </c>
      <c r="C91" s="15">
        <v>31</v>
      </c>
      <c r="D91" s="16">
        <f t="shared" si="2"/>
        <v>37200</v>
      </c>
    </row>
    <row r="92" spans="1:4">
      <c r="A92" s="13" t="s">
        <v>28</v>
      </c>
      <c r="B92" s="12">
        <v>0</v>
      </c>
      <c r="C92" s="15">
        <v>32</v>
      </c>
      <c r="D92" s="16">
        <f t="shared" si="2"/>
        <v>0</v>
      </c>
    </row>
    <row r="93" spans="1:4">
      <c r="A93" s="11" t="s">
        <v>49</v>
      </c>
      <c r="B93" s="12">
        <v>0</v>
      </c>
      <c r="C93" s="15">
        <v>33</v>
      </c>
      <c r="D93" s="16">
        <f t="shared" si="2"/>
        <v>0</v>
      </c>
    </row>
    <row r="94" spans="1:4">
      <c r="A94" s="13" t="s">
        <v>29</v>
      </c>
      <c r="B94" s="12">
        <v>0</v>
      </c>
      <c r="C94" s="15">
        <v>34</v>
      </c>
      <c r="D94" s="16">
        <f t="shared" si="2"/>
        <v>0</v>
      </c>
    </row>
    <row r="95" spans="1:4">
      <c r="A95" s="11" t="s">
        <v>66</v>
      </c>
      <c r="B95" s="12">
        <v>200</v>
      </c>
      <c r="C95" s="15">
        <v>35</v>
      </c>
      <c r="D95" s="16">
        <f t="shared" si="2"/>
        <v>7000</v>
      </c>
    </row>
    <row r="96" spans="1:4" ht="15" thickBot="1">
      <c r="A96" s="6"/>
      <c r="B96" s="7"/>
    </row>
    <row r="97" spans="1:2" ht="15" thickTop="1">
      <c r="A97" s="5"/>
      <c r="B97" s="8"/>
    </row>
  </sheetData>
  <pageMargins left="0" right="0" top="0.39370078740157477" bottom="0.39370078740157477" header="0" footer="0"/>
  <headerFooter>
    <oddHeader>&amp;C&amp;A</oddHeader>
    <oddFooter>&amp;CPágina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J97"/>
  <sheetViews>
    <sheetView workbookViewId="0">
      <selection activeCell="C1" sqref="C1:D95"/>
    </sheetView>
  </sheetViews>
  <sheetFormatPr baseColWidth="10" defaultRowHeight="14.25"/>
  <cols>
    <col min="1" max="1" width="46.875" customWidth="1"/>
    <col min="2" max="3" width="12.625" style="3" customWidth="1"/>
    <col min="4" max="4" width="14.5" customWidth="1"/>
    <col min="5" max="7" width="10.625" customWidth="1"/>
    <col min="8" max="8" width="12.125" customWidth="1"/>
    <col min="9" max="9" width="10.625" customWidth="1"/>
    <col min="10" max="10" width="14.5" customWidth="1"/>
  </cols>
  <sheetData>
    <row r="1" spans="1:10">
      <c r="A1" s="9" t="s">
        <v>41</v>
      </c>
      <c r="B1" s="10"/>
      <c r="C1" s="15" t="s">
        <v>69</v>
      </c>
      <c r="D1" t="s">
        <v>70</v>
      </c>
    </row>
    <row r="2" spans="1:10">
      <c r="A2" s="11" t="s">
        <v>43</v>
      </c>
      <c r="B2" s="12">
        <v>200</v>
      </c>
      <c r="C2" s="15">
        <v>7.0000000000000007E-2</v>
      </c>
      <c r="D2" s="16">
        <f>B2*C2</f>
        <v>14.000000000000002</v>
      </c>
    </row>
    <row r="3" spans="1:10">
      <c r="A3" s="13" t="s">
        <v>0</v>
      </c>
      <c r="B3" s="12">
        <v>4350</v>
      </c>
      <c r="C3" s="15">
        <v>0</v>
      </c>
      <c r="D3" s="16">
        <f>B3*C3</f>
        <v>0</v>
      </c>
      <c r="H3" s="1"/>
      <c r="I3" s="2"/>
      <c r="J3" s="2"/>
    </row>
    <row r="4" spans="1:10">
      <c r="A4" s="11" t="s">
        <v>44</v>
      </c>
      <c r="B4" s="12">
        <v>1200</v>
      </c>
      <c r="C4" s="15">
        <v>0</v>
      </c>
      <c r="D4" s="16">
        <f t="shared" ref="D4:D29" si="0">B4*C4</f>
        <v>0</v>
      </c>
      <c r="H4" s="1"/>
      <c r="I4" s="2"/>
      <c r="J4" s="2"/>
    </row>
    <row r="5" spans="1:10">
      <c r="A5" s="13" t="s">
        <v>3</v>
      </c>
      <c r="B5" s="12">
        <v>4950</v>
      </c>
      <c r="C5" s="15">
        <v>0</v>
      </c>
      <c r="D5" s="16">
        <f t="shared" si="0"/>
        <v>0</v>
      </c>
      <c r="H5" s="1"/>
      <c r="I5" s="2"/>
      <c r="J5" s="2"/>
    </row>
    <row r="6" spans="1:10">
      <c r="A6" s="13" t="s">
        <v>4</v>
      </c>
      <c r="B6" s="12">
        <v>5750</v>
      </c>
      <c r="C6" s="15">
        <v>0</v>
      </c>
      <c r="D6" s="16">
        <f t="shared" si="0"/>
        <v>0</v>
      </c>
      <c r="H6" s="1"/>
      <c r="I6" s="2"/>
      <c r="J6" s="2"/>
    </row>
    <row r="7" spans="1:10">
      <c r="A7" s="13" t="s">
        <v>5</v>
      </c>
      <c r="B7" s="12">
        <v>10625</v>
      </c>
      <c r="C7" s="15">
        <v>0</v>
      </c>
      <c r="D7" s="16">
        <f t="shared" si="0"/>
        <v>0</v>
      </c>
      <c r="H7" s="1"/>
      <c r="I7" s="2"/>
      <c r="J7" s="2"/>
    </row>
    <row r="8" spans="1:10">
      <c r="A8" s="13" t="s">
        <v>45</v>
      </c>
      <c r="B8" s="12">
        <v>3900</v>
      </c>
      <c r="C8" s="15">
        <v>0</v>
      </c>
      <c r="D8" s="16">
        <f t="shared" si="0"/>
        <v>0</v>
      </c>
      <c r="H8" s="1"/>
      <c r="I8" s="2"/>
      <c r="J8" s="2"/>
    </row>
    <row r="9" spans="1:10">
      <c r="A9" s="13" t="s">
        <v>46</v>
      </c>
      <c r="B9" s="12">
        <v>4900</v>
      </c>
      <c r="C9" s="15">
        <v>0</v>
      </c>
      <c r="D9" s="16">
        <f t="shared" si="0"/>
        <v>0</v>
      </c>
      <c r="H9" s="1"/>
      <c r="I9" s="2"/>
      <c r="J9" s="2"/>
    </row>
    <row r="10" spans="1:10">
      <c r="A10" s="13" t="s">
        <v>7</v>
      </c>
      <c r="B10" s="12">
        <v>6525</v>
      </c>
      <c r="C10" s="15">
        <v>0</v>
      </c>
      <c r="D10" s="16">
        <f t="shared" si="0"/>
        <v>0</v>
      </c>
      <c r="H10" s="1"/>
      <c r="I10" s="2"/>
      <c r="J10" s="2"/>
    </row>
    <row r="11" spans="1:10">
      <c r="A11" s="13" t="s">
        <v>8</v>
      </c>
      <c r="B11" s="12">
        <v>3850</v>
      </c>
      <c r="C11" s="15">
        <v>0</v>
      </c>
      <c r="D11" s="16">
        <f t="shared" si="0"/>
        <v>0</v>
      </c>
      <c r="H11" s="1"/>
      <c r="I11" s="2"/>
      <c r="J11" s="2"/>
    </row>
    <row r="12" spans="1:10">
      <c r="A12" s="13" t="s">
        <v>10</v>
      </c>
      <c r="B12" s="12">
        <v>7600</v>
      </c>
      <c r="C12" s="15">
        <v>0</v>
      </c>
      <c r="D12" s="16">
        <f t="shared" si="0"/>
        <v>0</v>
      </c>
      <c r="H12" s="1"/>
      <c r="I12" s="2"/>
      <c r="J12" s="2"/>
    </row>
    <row r="13" spans="1:10">
      <c r="A13" s="13" t="s">
        <v>11</v>
      </c>
      <c r="B13" s="12">
        <v>5250</v>
      </c>
      <c r="C13" s="15">
        <v>0</v>
      </c>
      <c r="D13" s="16">
        <f t="shared" si="0"/>
        <v>0</v>
      </c>
      <c r="H13" s="1"/>
      <c r="I13" s="2"/>
      <c r="J13" s="2"/>
    </row>
    <row r="14" spans="1:10">
      <c r="A14" s="13" t="s">
        <v>12</v>
      </c>
      <c r="B14" s="12">
        <v>3400</v>
      </c>
      <c r="C14" s="15">
        <v>0</v>
      </c>
      <c r="D14" s="16">
        <f t="shared" si="0"/>
        <v>0</v>
      </c>
      <c r="H14" s="1"/>
      <c r="I14" s="2"/>
      <c r="J14" s="2"/>
    </row>
    <row r="15" spans="1:10">
      <c r="A15" s="13" t="s">
        <v>47</v>
      </c>
      <c r="B15" s="12">
        <v>6750</v>
      </c>
      <c r="C15" s="15">
        <v>0</v>
      </c>
      <c r="D15" s="16">
        <f t="shared" si="0"/>
        <v>0</v>
      </c>
      <c r="H15" s="1"/>
      <c r="I15" s="2"/>
      <c r="J15" s="2"/>
    </row>
    <row r="16" spans="1:10">
      <c r="A16" s="13" t="s">
        <v>14</v>
      </c>
      <c r="B16" s="12">
        <v>6130</v>
      </c>
      <c r="C16" s="15">
        <v>0</v>
      </c>
      <c r="D16" s="16">
        <f t="shared" si="0"/>
        <v>0</v>
      </c>
      <c r="H16" s="1"/>
      <c r="I16" s="2"/>
      <c r="J16" s="2"/>
    </row>
    <row r="17" spans="1:10">
      <c r="A17" s="13" t="s">
        <v>15</v>
      </c>
      <c r="B17" s="12">
        <v>1175</v>
      </c>
      <c r="C17" s="15">
        <v>0</v>
      </c>
      <c r="D17" s="16">
        <f t="shared" si="0"/>
        <v>0</v>
      </c>
      <c r="H17" s="1"/>
      <c r="I17" s="2"/>
      <c r="J17" s="2"/>
    </row>
    <row r="18" spans="1:10">
      <c r="A18" s="13" t="s">
        <v>17</v>
      </c>
      <c r="B18" s="12">
        <v>950</v>
      </c>
      <c r="C18" s="15">
        <v>0</v>
      </c>
      <c r="D18" s="16">
        <f>B18*C18</f>
        <v>0</v>
      </c>
      <c r="H18" s="1"/>
      <c r="I18" s="2"/>
      <c r="J18" s="2"/>
    </row>
    <row r="19" spans="1:10">
      <c r="A19" s="13" t="s">
        <v>19</v>
      </c>
      <c r="B19" s="12">
        <v>6175</v>
      </c>
      <c r="C19" s="15">
        <v>0</v>
      </c>
      <c r="D19" s="16">
        <f t="shared" si="0"/>
        <v>0</v>
      </c>
      <c r="H19" s="1"/>
      <c r="I19" s="2"/>
      <c r="J19" s="2"/>
    </row>
    <row r="20" spans="1:10">
      <c r="A20" s="13" t="s">
        <v>20</v>
      </c>
      <c r="B20" s="12">
        <v>2300</v>
      </c>
      <c r="C20" s="15">
        <v>0</v>
      </c>
      <c r="D20" s="16">
        <f t="shared" si="0"/>
        <v>0</v>
      </c>
      <c r="H20" s="1"/>
      <c r="I20" s="2"/>
      <c r="J20" s="2"/>
    </row>
    <row r="21" spans="1:10">
      <c r="A21" s="13" t="s">
        <v>21</v>
      </c>
      <c r="B21" s="12">
        <v>2300</v>
      </c>
      <c r="C21" s="15">
        <v>0</v>
      </c>
      <c r="D21" s="16">
        <f t="shared" si="0"/>
        <v>0</v>
      </c>
      <c r="H21" s="1"/>
      <c r="I21" s="2"/>
      <c r="J21" s="2"/>
    </row>
    <row r="22" spans="1:10">
      <c r="A22" s="13" t="s">
        <v>22</v>
      </c>
      <c r="B22" s="12">
        <v>9450</v>
      </c>
      <c r="C22" s="15">
        <v>0</v>
      </c>
      <c r="D22" s="16">
        <f t="shared" si="0"/>
        <v>0</v>
      </c>
      <c r="H22" s="1"/>
      <c r="I22" s="2"/>
      <c r="J22" s="2"/>
    </row>
    <row r="23" spans="1:10">
      <c r="A23" s="13" t="s">
        <v>23</v>
      </c>
      <c r="B23" s="12">
        <v>3525</v>
      </c>
      <c r="C23" s="15">
        <v>0</v>
      </c>
      <c r="D23" s="16">
        <f t="shared" si="0"/>
        <v>0</v>
      </c>
      <c r="H23" s="1"/>
      <c r="I23" s="2"/>
      <c r="J23" s="2"/>
    </row>
    <row r="24" spans="1:10">
      <c r="A24" s="11" t="s">
        <v>48</v>
      </c>
      <c r="B24" s="12">
        <v>2000</v>
      </c>
      <c r="C24" s="15">
        <v>0</v>
      </c>
      <c r="D24" s="16">
        <f t="shared" si="0"/>
        <v>0</v>
      </c>
      <c r="H24" s="1"/>
      <c r="I24" s="2"/>
      <c r="J24" s="2"/>
    </row>
    <row r="25" spans="1:10">
      <c r="A25" s="13" t="s">
        <v>24</v>
      </c>
      <c r="B25" s="12">
        <v>1050</v>
      </c>
      <c r="C25" s="15">
        <v>0</v>
      </c>
      <c r="D25" s="16">
        <f t="shared" si="0"/>
        <v>0</v>
      </c>
      <c r="H25" s="1"/>
      <c r="I25" s="2"/>
      <c r="J25" s="2"/>
    </row>
    <row r="26" spans="1:10">
      <c r="A26" s="13" t="s">
        <v>26</v>
      </c>
      <c r="B26" s="12">
        <v>6200</v>
      </c>
      <c r="C26" s="15">
        <v>0</v>
      </c>
      <c r="D26" s="16">
        <f t="shared" si="0"/>
        <v>0</v>
      </c>
      <c r="H26" s="1"/>
      <c r="I26" s="2"/>
      <c r="J26" s="2"/>
    </row>
    <row r="27" spans="1:10">
      <c r="A27" s="13" t="s">
        <v>28</v>
      </c>
      <c r="B27" s="12">
        <v>1900</v>
      </c>
      <c r="C27" s="15">
        <v>0</v>
      </c>
      <c r="D27" s="16">
        <f t="shared" si="0"/>
        <v>0</v>
      </c>
      <c r="H27" s="1"/>
      <c r="I27" s="2"/>
      <c r="J27" s="2"/>
    </row>
    <row r="28" spans="1:10">
      <c r="A28" s="11" t="s">
        <v>49</v>
      </c>
      <c r="B28" s="12">
        <v>400</v>
      </c>
      <c r="C28" s="15">
        <v>0.1</v>
      </c>
      <c r="D28" s="16">
        <f t="shared" si="0"/>
        <v>40</v>
      </c>
      <c r="H28" s="1"/>
      <c r="I28" s="2"/>
      <c r="J28" s="2"/>
    </row>
    <row r="29" spans="1:10" ht="15" thickBot="1">
      <c r="A29" s="13" t="s">
        <v>29</v>
      </c>
      <c r="B29" s="12">
        <v>4750</v>
      </c>
      <c r="C29" s="15">
        <v>0</v>
      </c>
      <c r="D29" s="16">
        <f t="shared" si="0"/>
        <v>0</v>
      </c>
      <c r="H29" s="1"/>
      <c r="I29" s="2"/>
      <c r="J29" s="2"/>
    </row>
    <row r="30" spans="1:10" ht="15" thickTop="1">
      <c r="A30" s="10"/>
      <c r="B30" s="14">
        <v>117555</v>
      </c>
      <c r="C30" s="15"/>
      <c r="H30" s="1"/>
      <c r="I30" s="2"/>
      <c r="J30" s="2"/>
    </row>
    <row r="31" spans="1:10">
      <c r="A31" s="9" t="s">
        <v>42</v>
      </c>
      <c r="B31" s="10"/>
      <c r="C31" s="15"/>
      <c r="H31" s="1"/>
      <c r="I31" s="2"/>
      <c r="J31" s="2"/>
    </row>
    <row r="32" spans="1:10">
      <c r="A32" s="13" t="s">
        <v>1</v>
      </c>
      <c r="B32" s="12">
        <v>100</v>
      </c>
      <c r="C32" s="15" t="s">
        <v>69</v>
      </c>
      <c r="D32" t="s">
        <v>70</v>
      </c>
      <c r="H32" s="1"/>
      <c r="I32" s="2"/>
      <c r="J32" s="2"/>
    </row>
    <row r="33" spans="1:10">
      <c r="A33" s="13" t="s">
        <v>2</v>
      </c>
      <c r="B33" s="12">
        <v>150</v>
      </c>
      <c r="C33" s="15">
        <v>7.0000000000000007E-2</v>
      </c>
      <c r="D33" s="16">
        <f>B33*C33</f>
        <v>10.500000000000002</v>
      </c>
      <c r="H33" s="1"/>
      <c r="I33" s="2"/>
      <c r="J33" s="2"/>
    </row>
    <row r="34" spans="1:10">
      <c r="A34" s="13" t="s">
        <v>43</v>
      </c>
      <c r="B34" s="12">
        <v>200</v>
      </c>
      <c r="C34" s="15">
        <v>0</v>
      </c>
      <c r="D34" s="16">
        <f>B34*C34</f>
        <v>0</v>
      </c>
      <c r="H34" s="1"/>
      <c r="I34" s="2"/>
      <c r="J34" s="2"/>
    </row>
    <row r="35" spans="1:10">
      <c r="A35" s="13" t="s">
        <v>50</v>
      </c>
      <c r="B35" s="12">
        <v>100</v>
      </c>
      <c r="C35" s="15">
        <v>0</v>
      </c>
      <c r="D35" s="16">
        <f t="shared" ref="D35:D48" si="1">B35*C35</f>
        <v>0</v>
      </c>
      <c r="H35" s="1"/>
      <c r="I35" s="2"/>
      <c r="J35" s="2"/>
    </row>
    <row r="36" spans="1:10">
      <c r="A36" s="13" t="s">
        <v>6</v>
      </c>
      <c r="B36" s="12">
        <v>725</v>
      </c>
      <c r="C36" s="15">
        <v>0</v>
      </c>
      <c r="D36" s="16">
        <f t="shared" si="1"/>
        <v>0</v>
      </c>
      <c r="H36" s="1"/>
      <c r="I36" s="2"/>
      <c r="J36" s="2"/>
    </row>
    <row r="37" spans="1:10">
      <c r="A37" s="13" t="s">
        <v>51</v>
      </c>
      <c r="B37" s="12">
        <v>100</v>
      </c>
      <c r="C37" s="15">
        <v>0</v>
      </c>
      <c r="D37" s="16">
        <f t="shared" si="1"/>
        <v>0</v>
      </c>
      <c r="H37" s="1"/>
      <c r="I37" s="2"/>
      <c r="J37" s="2"/>
    </row>
    <row r="38" spans="1:10">
      <c r="A38" s="11" t="s">
        <v>52</v>
      </c>
      <c r="B38" s="12">
        <v>650</v>
      </c>
      <c r="C38" s="15">
        <v>0</v>
      </c>
      <c r="D38" s="16">
        <f t="shared" si="1"/>
        <v>0</v>
      </c>
      <c r="H38" s="1"/>
      <c r="I38" s="2"/>
      <c r="J38" s="2"/>
    </row>
    <row r="39" spans="1:10">
      <c r="A39" s="13" t="s">
        <v>0</v>
      </c>
      <c r="B39" s="12">
        <v>0</v>
      </c>
      <c r="C39" s="15">
        <v>0</v>
      </c>
      <c r="D39" s="16">
        <f t="shared" si="1"/>
        <v>0</v>
      </c>
      <c r="H39" s="1"/>
      <c r="I39" s="2"/>
      <c r="J39" s="2"/>
    </row>
    <row r="40" spans="1:10" ht="25.5">
      <c r="A40" s="13" t="s">
        <v>9</v>
      </c>
      <c r="B40" s="12">
        <v>500</v>
      </c>
      <c r="C40" s="15">
        <v>0</v>
      </c>
      <c r="D40" s="16">
        <f t="shared" si="1"/>
        <v>0</v>
      </c>
      <c r="H40" s="1"/>
      <c r="I40" s="2"/>
      <c r="J40" s="2"/>
    </row>
    <row r="41" spans="1:10">
      <c r="A41" s="13" t="s">
        <v>44</v>
      </c>
      <c r="B41" s="12">
        <v>0</v>
      </c>
      <c r="C41" s="15">
        <v>0</v>
      </c>
      <c r="D41" s="16">
        <f t="shared" si="1"/>
        <v>0</v>
      </c>
      <c r="H41" s="1"/>
      <c r="I41" s="2"/>
      <c r="J41" s="2"/>
    </row>
    <row r="42" spans="1:10">
      <c r="A42" s="13" t="s">
        <v>3</v>
      </c>
      <c r="B42" s="12">
        <v>0</v>
      </c>
      <c r="C42" s="15">
        <v>0</v>
      </c>
      <c r="D42" s="16">
        <f t="shared" si="1"/>
        <v>0</v>
      </c>
      <c r="H42" s="1"/>
      <c r="I42" s="2"/>
      <c r="J42" s="2"/>
    </row>
    <row r="43" spans="1:10">
      <c r="A43" s="13" t="s">
        <v>13</v>
      </c>
      <c r="B43" s="12">
        <v>200</v>
      </c>
      <c r="C43" s="15">
        <v>0</v>
      </c>
      <c r="D43" s="16">
        <f t="shared" si="1"/>
        <v>0</v>
      </c>
      <c r="H43" s="1"/>
      <c r="I43" s="2"/>
      <c r="J43" s="2"/>
    </row>
    <row r="44" spans="1:10">
      <c r="A44" s="13" t="s">
        <v>4</v>
      </c>
      <c r="B44" s="12">
        <v>0</v>
      </c>
      <c r="C44" s="15">
        <v>0</v>
      </c>
      <c r="D44" s="16">
        <f t="shared" si="1"/>
        <v>0</v>
      </c>
      <c r="H44" s="1"/>
      <c r="I44" s="2"/>
      <c r="J44" s="2"/>
    </row>
    <row r="45" spans="1:10">
      <c r="A45" s="13" t="s">
        <v>5</v>
      </c>
      <c r="B45" s="12">
        <v>0</v>
      </c>
      <c r="C45" s="15">
        <v>0</v>
      </c>
      <c r="D45" s="16">
        <f t="shared" si="1"/>
        <v>0</v>
      </c>
      <c r="H45" s="1"/>
      <c r="I45" s="2"/>
      <c r="J45" s="2"/>
    </row>
    <row r="46" spans="1:10">
      <c r="A46" s="13" t="s">
        <v>16</v>
      </c>
      <c r="B46" s="12">
        <v>400</v>
      </c>
      <c r="C46" s="15">
        <v>0</v>
      </c>
      <c r="D46" s="16">
        <f t="shared" si="1"/>
        <v>0</v>
      </c>
      <c r="H46" s="1"/>
      <c r="I46" s="2"/>
      <c r="J46" s="2"/>
    </row>
    <row r="47" spans="1:10">
      <c r="A47" s="13" t="s">
        <v>18</v>
      </c>
      <c r="B47" s="12">
        <v>150</v>
      </c>
      <c r="C47" s="15">
        <v>0</v>
      </c>
      <c r="D47" s="16">
        <f t="shared" si="1"/>
        <v>0</v>
      </c>
      <c r="H47" s="1"/>
      <c r="I47" s="2"/>
      <c r="J47" s="2"/>
    </row>
    <row r="48" spans="1:10">
      <c r="A48" s="11" t="s">
        <v>53</v>
      </c>
      <c r="B48" s="12">
        <v>300</v>
      </c>
      <c r="C48" s="15">
        <v>0</v>
      </c>
      <c r="D48" s="16">
        <f t="shared" si="1"/>
        <v>0</v>
      </c>
      <c r="H48" s="1"/>
      <c r="I48" s="2"/>
      <c r="J48" s="2"/>
    </row>
    <row r="49" spans="1:10">
      <c r="A49" s="13" t="s">
        <v>54</v>
      </c>
      <c r="B49" s="12">
        <v>605</v>
      </c>
      <c r="C49" s="15">
        <v>0</v>
      </c>
      <c r="D49" s="16">
        <f>B49*C49</f>
        <v>0</v>
      </c>
      <c r="H49" s="1"/>
      <c r="I49" s="2"/>
      <c r="J49" s="2"/>
    </row>
    <row r="50" spans="1:10">
      <c r="A50" s="11" t="s">
        <v>55</v>
      </c>
      <c r="B50" s="12">
        <v>1</v>
      </c>
      <c r="C50" s="15">
        <v>0</v>
      </c>
      <c r="D50" s="16">
        <f t="shared" ref="D50:D95" si="2">B50*C50</f>
        <v>0</v>
      </c>
      <c r="H50" s="1"/>
      <c r="I50" s="2"/>
      <c r="J50" s="2"/>
    </row>
    <row r="51" spans="1:10">
      <c r="A51" s="13" t="s">
        <v>45</v>
      </c>
      <c r="B51" s="12">
        <v>0</v>
      </c>
      <c r="C51" s="15">
        <v>0</v>
      </c>
      <c r="D51" s="16">
        <f t="shared" si="2"/>
        <v>0</v>
      </c>
      <c r="H51" s="1"/>
      <c r="I51" s="2"/>
      <c r="J51" s="2"/>
    </row>
    <row r="52" spans="1:10">
      <c r="A52" s="11" t="s">
        <v>56</v>
      </c>
      <c r="B52" s="12">
        <v>105573</v>
      </c>
      <c r="C52" s="15">
        <v>0</v>
      </c>
      <c r="D52" s="16">
        <f t="shared" si="2"/>
        <v>0</v>
      </c>
      <c r="H52" s="1"/>
      <c r="I52" s="2"/>
      <c r="J52" s="2"/>
    </row>
    <row r="53" spans="1:10">
      <c r="A53" s="13" t="s">
        <v>46</v>
      </c>
      <c r="B53" s="12">
        <v>0</v>
      </c>
      <c r="C53" s="15">
        <v>0</v>
      </c>
      <c r="D53" s="16">
        <f t="shared" si="2"/>
        <v>0</v>
      </c>
      <c r="H53" s="1"/>
      <c r="I53" s="2"/>
      <c r="J53" s="2"/>
    </row>
    <row r="54" spans="1:10" ht="25.5">
      <c r="A54" s="13" t="s">
        <v>40</v>
      </c>
      <c r="B54" s="12">
        <v>150</v>
      </c>
      <c r="C54" s="15">
        <v>0</v>
      </c>
      <c r="D54" s="16">
        <f t="shared" si="2"/>
        <v>0</v>
      </c>
      <c r="H54" s="1"/>
      <c r="I54" s="2"/>
      <c r="J54" s="2"/>
    </row>
    <row r="55" spans="1:10">
      <c r="A55" s="13" t="s">
        <v>25</v>
      </c>
      <c r="B55" s="12">
        <v>350</v>
      </c>
      <c r="C55" s="15">
        <v>0</v>
      </c>
      <c r="D55" s="16">
        <f t="shared" si="2"/>
        <v>0</v>
      </c>
      <c r="H55" s="1"/>
      <c r="I55" s="2"/>
      <c r="J55" s="2"/>
    </row>
    <row r="56" spans="1:10">
      <c r="A56" s="13" t="s">
        <v>27</v>
      </c>
      <c r="B56" s="12">
        <v>100</v>
      </c>
      <c r="C56" s="15">
        <v>0</v>
      </c>
      <c r="D56" s="16">
        <f t="shared" si="2"/>
        <v>0</v>
      </c>
      <c r="H56" s="1"/>
      <c r="I56" s="2"/>
      <c r="J56" s="2"/>
    </row>
    <row r="57" spans="1:10">
      <c r="A57" s="11" t="s">
        <v>57</v>
      </c>
      <c r="B57" s="12">
        <v>150</v>
      </c>
      <c r="C57" s="15">
        <v>0</v>
      </c>
      <c r="D57" s="16">
        <f t="shared" si="2"/>
        <v>0</v>
      </c>
      <c r="H57" s="1"/>
      <c r="I57" s="2"/>
      <c r="J57" s="2"/>
    </row>
    <row r="58" spans="1:10">
      <c r="A58" s="13" t="s">
        <v>7</v>
      </c>
      <c r="B58" s="12">
        <v>0</v>
      </c>
      <c r="C58" s="15">
        <v>0</v>
      </c>
      <c r="D58" s="16">
        <f t="shared" si="2"/>
        <v>0</v>
      </c>
      <c r="H58" s="1"/>
      <c r="I58" s="2"/>
      <c r="J58" s="2"/>
    </row>
    <row r="59" spans="1:10">
      <c r="A59" s="13" t="s">
        <v>30</v>
      </c>
      <c r="B59" s="12">
        <v>500</v>
      </c>
      <c r="C59" s="15">
        <v>0.1</v>
      </c>
      <c r="D59" s="16">
        <f t="shared" si="2"/>
        <v>50</v>
      </c>
      <c r="H59" s="1"/>
      <c r="I59" s="2"/>
      <c r="J59" s="2"/>
    </row>
    <row r="60" spans="1:10">
      <c r="A60" s="13" t="s">
        <v>8</v>
      </c>
      <c r="B60" s="12">
        <v>0</v>
      </c>
      <c r="C60" s="15">
        <v>0</v>
      </c>
      <c r="D60" s="16">
        <f t="shared" si="2"/>
        <v>0</v>
      </c>
      <c r="H60" s="1"/>
      <c r="I60" s="2"/>
      <c r="J60" s="2"/>
    </row>
    <row r="61" spans="1:10">
      <c r="A61" s="13" t="s">
        <v>58</v>
      </c>
      <c r="B61" s="12">
        <v>200</v>
      </c>
      <c r="C61" s="15">
        <v>1</v>
      </c>
      <c r="D61" s="16">
        <f t="shared" si="2"/>
        <v>200</v>
      </c>
      <c r="H61" s="1"/>
      <c r="I61" s="2"/>
      <c r="J61" s="2"/>
    </row>
    <row r="62" spans="1:10">
      <c r="A62" s="13" t="s">
        <v>59</v>
      </c>
      <c r="B62" s="12">
        <v>350</v>
      </c>
      <c r="C62" s="15">
        <v>2</v>
      </c>
      <c r="D62" s="16">
        <f t="shared" si="2"/>
        <v>700</v>
      </c>
      <c r="H62" s="1"/>
      <c r="I62" s="2"/>
      <c r="J62" s="2"/>
    </row>
    <row r="63" spans="1:10">
      <c r="A63" s="13" t="s">
        <v>10</v>
      </c>
      <c r="B63" s="12">
        <v>0</v>
      </c>
      <c r="C63" s="15">
        <v>3</v>
      </c>
      <c r="D63" s="16">
        <f t="shared" si="2"/>
        <v>0</v>
      </c>
      <c r="H63" s="1"/>
      <c r="I63" s="2"/>
      <c r="J63" s="2"/>
    </row>
    <row r="64" spans="1:10">
      <c r="A64" s="13" t="s">
        <v>11</v>
      </c>
      <c r="B64" s="12">
        <v>0</v>
      </c>
      <c r="C64" s="15">
        <v>4</v>
      </c>
      <c r="D64" s="16">
        <f t="shared" si="2"/>
        <v>0</v>
      </c>
      <c r="H64" s="1"/>
      <c r="I64" s="2"/>
      <c r="J64" s="2"/>
    </row>
    <row r="65" spans="1:4">
      <c r="A65" s="13" t="s">
        <v>12</v>
      </c>
      <c r="B65" s="12">
        <v>0</v>
      </c>
      <c r="C65" s="15">
        <v>5</v>
      </c>
      <c r="D65" s="16">
        <f t="shared" si="2"/>
        <v>0</v>
      </c>
    </row>
    <row r="66" spans="1:4">
      <c r="A66" s="13" t="s">
        <v>60</v>
      </c>
      <c r="B66" s="12">
        <v>0</v>
      </c>
      <c r="C66" s="15">
        <v>6</v>
      </c>
      <c r="D66" s="16">
        <f t="shared" si="2"/>
        <v>0</v>
      </c>
    </row>
    <row r="67" spans="1:4">
      <c r="A67" s="13" t="s">
        <v>14</v>
      </c>
      <c r="B67" s="12">
        <v>0</v>
      </c>
      <c r="C67" s="15">
        <v>7</v>
      </c>
      <c r="D67" s="16">
        <f t="shared" si="2"/>
        <v>0</v>
      </c>
    </row>
    <row r="68" spans="1:4">
      <c r="A68" s="13" t="s">
        <v>15</v>
      </c>
      <c r="B68" s="12">
        <v>0</v>
      </c>
      <c r="C68" s="15">
        <v>8</v>
      </c>
      <c r="D68" s="16">
        <f t="shared" si="2"/>
        <v>0</v>
      </c>
    </row>
    <row r="69" spans="1:4">
      <c r="A69" s="13" t="s">
        <v>17</v>
      </c>
      <c r="B69" s="12">
        <v>0</v>
      </c>
      <c r="C69" s="15">
        <v>9</v>
      </c>
      <c r="D69" s="16">
        <f t="shared" si="2"/>
        <v>0</v>
      </c>
    </row>
    <row r="70" spans="1:4">
      <c r="A70" s="13" t="s">
        <v>31</v>
      </c>
      <c r="B70" s="12">
        <v>400</v>
      </c>
      <c r="C70" s="15">
        <v>10</v>
      </c>
      <c r="D70" s="16">
        <f t="shared" si="2"/>
        <v>4000</v>
      </c>
    </row>
    <row r="71" spans="1:4">
      <c r="A71" s="13" t="s">
        <v>19</v>
      </c>
      <c r="B71" s="12">
        <v>0</v>
      </c>
      <c r="C71" s="15">
        <v>11</v>
      </c>
      <c r="D71" s="16">
        <f t="shared" si="2"/>
        <v>0</v>
      </c>
    </row>
    <row r="72" spans="1:4">
      <c r="A72" s="11" t="s">
        <v>61</v>
      </c>
      <c r="B72" s="12">
        <v>700</v>
      </c>
      <c r="C72" s="15">
        <v>12</v>
      </c>
      <c r="D72" s="16">
        <f t="shared" si="2"/>
        <v>8400</v>
      </c>
    </row>
    <row r="73" spans="1:4">
      <c r="A73" s="13" t="s">
        <v>20</v>
      </c>
      <c r="B73" s="12">
        <v>0</v>
      </c>
      <c r="C73" s="15">
        <v>13</v>
      </c>
      <c r="D73" s="16">
        <f t="shared" si="2"/>
        <v>0</v>
      </c>
    </row>
    <row r="74" spans="1:4">
      <c r="A74" s="13" t="s">
        <v>32</v>
      </c>
      <c r="B74" s="12">
        <v>300</v>
      </c>
      <c r="C74" s="15">
        <v>14</v>
      </c>
      <c r="D74" s="16">
        <f t="shared" si="2"/>
        <v>4200</v>
      </c>
    </row>
    <row r="75" spans="1:4">
      <c r="A75" s="13" t="s">
        <v>33</v>
      </c>
      <c r="B75" s="12">
        <v>600</v>
      </c>
      <c r="C75" s="15">
        <v>15</v>
      </c>
      <c r="D75" s="16">
        <f t="shared" si="2"/>
        <v>9000</v>
      </c>
    </row>
    <row r="76" spans="1:4">
      <c r="A76" s="13" t="s">
        <v>34</v>
      </c>
      <c r="B76" s="12">
        <v>150</v>
      </c>
      <c r="C76" s="15">
        <v>16</v>
      </c>
      <c r="D76" s="16">
        <f t="shared" si="2"/>
        <v>2400</v>
      </c>
    </row>
    <row r="77" spans="1:4">
      <c r="A77" s="11" t="s">
        <v>62</v>
      </c>
      <c r="B77" s="12">
        <v>1</v>
      </c>
      <c r="C77" s="15">
        <v>17</v>
      </c>
      <c r="D77" s="16">
        <f t="shared" si="2"/>
        <v>17</v>
      </c>
    </row>
    <row r="78" spans="1:4">
      <c r="A78" s="13" t="s">
        <v>21</v>
      </c>
      <c r="B78" s="12">
        <v>0</v>
      </c>
      <c r="C78" s="15">
        <v>18</v>
      </c>
      <c r="D78" s="16">
        <f t="shared" si="2"/>
        <v>0</v>
      </c>
    </row>
    <row r="79" spans="1:4">
      <c r="A79" s="13" t="s">
        <v>22</v>
      </c>
      <c r="B79" s="12">
        <v>0</v>
      </c>
      <c r="C79" s="15">
        <v>19</v>
      </c>
      <c r="D79" s="16">
        <f t="shared" si="2"/>
        <v>0</v>
      </c>
    </row>
    <row r="80" spans="1:4">
      <c r="A80" s="13" t="s">
        <v>35</v>
      </c>
      <c r="B80" s="12">
        <v>1050</v>
      </c>
      <c r="C80" s="15">
        <v>20</v>
      </c>
      <c r="D80" s="16">
        <f t="shared" si="2"/>
        <v>21000</v>
      </c>
    </row>
    <row r="81" spans="1:4">
      <c r="A81" s="13" t="s">
        <v>36</v>
      </c>
      <c r="B81" s="12">
        <v>400</v>
      </c>
      <c r="C81" s="15">
        <v>21</v>
      </c>
      <c r="D81" s="16">
        <f t="shared" si="2"/>
        <v>8400</v>
      </c>
    </row>
    <row r="82" spans="1:4">
      <c r="A82" s="13" t="s">
        <v>37</v>
      </c>
      <c r="B82" s="12">
        <v>200</v>
      </c>
      <c r="C82" s="15">
        <v>22</v>
      </c>
      <c r="D82" s="16">
        <f t="shared" si="2"/>
        <v>4400</v>
      </c>
    </row>
    <row r="83" spans="1:4">
      <c r="A83" s="13" t="s">
        <v>23</v>
      </c>
      <c r="B83" s="12">
        <v>0</v>
      </c>
      <c r="C83" s="15">
        <v>23</v>
      </c>
      <c r="D83" s="16">
        <f t="shared" si="2"/>
        <v>0</v>
      </c>
    </row>
    <row r="84" spans="1:4">
      <c r="A84" s="13" t="s">
        <v>63</v>
      </c>
      <c r="B84" s="12">
        <v>200</v>
      </c>
      <c r="C84" s="15">
        <v>24</v>
      </c>
      <c r="D84" s="16">
        <f t="shared" si="2"/>
        <v>4800</v>
      </c>
    </row>
    <row r="85" spans="1:4">
      <c r="A85" s="13" t="s">
        <v>48</v>
      </c>
      <c r="B85" s="12">
        <v>0</v>
      </c>
      <c r="C85" s="15">
        <v>25</v>
      </c>
      <c r="D85" s="16">
        <f t="shared" si="2"/>
        <v>0</v>
      </c>
    </row>
    <row r="86" spans="1:4">
      <c r="A86" s="13" t="s">
        <v>38</v>
      </c>
      <c r="B86" s="12">
        <v>100</v>
      </c>
      <c r="C86" s="15">
        <v>26</v>
      </c>
      <c r="D86" s="16">
        <f t="shared" si="2"/>
        <v>2600</v>
      </c>
    </row>
    <row r="87" spans="1:4">
      <c r="A87" s="13" t="s">
        <v>39</v>
      </c>
      <c r="B87" s="12">
        <v>350</v>
      </c>
      <c r="C87" s="15">
        <v>27</v>
      </c>
      <c r="D87" s="16">
        <f t="shared" si="2"/>
        <v>9450</v>
      </c>
    </row>
    <row r="88" spans="1:4">
      <c r="A88" s="11" t="s">
        <v>64</v>
      </c>
      <c r="B88" s="12">
        <v>150</v>
      </c>
      <c r="C88" s="15">
        <v>28</v>
      </c>
      <c r="D88" s="16">
        <f t="shared" si="2"/>
        <v>4200</v>
      </c>
    </row>
    <row r="89" spans="1:4">
      <c r="A89" s="13" t="s">
        <v>24</v>
      </c>
      <c r="B89" s="12">
        <v>0</v>
      </c>
      <c r="C89" s="15">
        <v>29</v>
      </c>
      <c r="D89" s="16">
        <f t="shared" si="2"/>
        <v>0</v>
      </c>
    </row>
    <row r="90" spans="1:4">
      <c r="A90" s="13" t="s">
        <v>26</v>
      </c>
      <c r="B90" s="12">
        <v>0</v>
      </c>
      <c r="C90" s="15">
        <v>30</v>
      </c>
      <c r="D90" s="16">
        <f t="shared" si="2"/>
        <v>0</v>
      </c>
    </row>
    <row r="91" spans="1:4">
      <c r="A91" s="11" t="s">
        <v>65</v>
      </c>
      <c r="B91" s="12">
        <v>1200</v>
      </c>
      <c r="C91" s="15">
        <v>31</v>
      </c>
      <c r="D91" s="16">
        <f t="shared" si="2"/>
        <v>37200</v>
      </c>
    </row>
    <row r="92" spans="1:4">
      <c r="A92" s="13" t="s">
        <v>28</v>
      </c>
      <c r="B92" s="12">
        <v>0</v>
      </c>
      <c r="C92" s="15">
        <v>32</v>
      </c>
      <c r="D92" s="16">
        <f t="shared" si="2"/>
        <v>0</v>
      </c>
    </row>
    <row r="93" spans="1:4">
      <c r="A93" s="11" t="s">
        <v>49</v>
      </c>
      <c r="B93" s="12">
        <v>0</v>
      </c>
      <c r="C93" s="15">
        <v>33</v>
      </c>
      <c r="D93" s="16">
        <f t="shared" si="2"/>
        <v>0</v>
      </c>
    </row>
    <row r="94" spans="1:4">
      <c r="A94" s="13" t="s">
        <v>29</v>
      </c>
      <c r="B94" s="12">
        <v>0</v>
      </c>
      <c r="C94" s="15">
        <v>34</v>
      </c>
      <c r="D94" s="16">
        <f t="shared" si="2"/>
        <v>0</v>
      </c>
    </row>
    <row r="95" spans="1:4">
      <c r="A95" s="11" t="s">
        <v>66</v>
      </c>
      <c r="B95" s="12">
        <v>200</v>
      </c>
      <c r="C95" s="15">
        <v>35</v>
      </c>
      <c r="D95" s="16">
        <f t="shared" si="2"/>
        <v>7000</v>
      </c>
    </row>
    <row r="96" spans="1:4" ht="15" thickBot="1">
      <c r="A96" s="6"/>
      <c r="B96" s="7"/>
    </row>
    <row r="97" spans="1:2" ht="15" thickTop="1">
      <c r="A97" s="5"/>
      <c r="B97" s="8"/>
    </row>
  </sheetData>
  <pageMargins left="0" right="0" top="0.39370078740157477" bottom="0.39370078740157477" header="0" footer="0"/>
  <headerFooter>
    <oddHeader>&amp;C&amp;A</oddHeader>
    <oddFooter>&amp;CPágina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J97"/>
  <sheetViews>
    <sheetView workbookViewId="0">
      <selection activeCell="C1" sqref="C1:D95"/>
    </sheetView>
  </sheetViews>
  <sheetFormatPr baseColWidth="10" defaultRowHeight="14.25"/>
  <cols>
    <col min="1" max="1" width="46.875" customWidth="1"/>
    <col min="2" max="3" width="12.625" style="3" customWidth="1"/>
    <col min="4" max="4" width="14.5" customWidth="1"/>
    <col min="5" max="7" width="10.625" customWidth="1"/>
    <col min="8" max="8" width="12.125" customWidth="1"/>
    <col min="9" max="9" width="10.625" customWidth="1"/>
    <col min="10" max="10" width="14.5" customWidth="1"/>
  </cols>
  <sheetData>
    <row r="1" spans="1:10">
      <c r="A1" s="9" t="s">
        <v>41</v>
      </c>
      <c r="B1" s="10"/>
      <c r="C1" s="15" t="s">
        <v>69</v>
      </c>
      <c r="D1" t="s">
        <v>70</v>
      </c>
    </row>
    <row r="2" spans="1:10">
      <c r="A2" s="11" t="s">
        <v>43</v>
      </c>
      <c r="B2" s="12">
        <v>200</v>
      </c>
      <c r="C2" s="15">
        <v>7.0000000000000007E-2</v>
      </c>
      <c r="D2" s="16">
        <f>B2*C2</f>
        <v>14.000000000000002</v>
      </c>
    </row>
    <row r="3" spans="1:10">
      <c r="A3" s="13" t="s">
        <v>0</v>
      </c>
      <c r="B3" s="12">
        <v>4350</v>
      </c>
      <c r="C3" s="15">
        <v>0</v>
      </c>
      <c r="D3" s="16">
        <f>B3*C3</f>
        <v>0</v>
      </c>
      <c r="H3" s="1"/>
      <c r="I3" s="2"/>
      <c r="J3" s="2"/>
    </row>
    <row r="4" spans="1:10">
      <c r="A4" s="11" t="s">
        <v>44</v>
      </c>
      <c r="B4" s="12">
        <v>1200</v>
      </c>
      <c r="C4" s="15">
        <v>0</v>
      </c>
      <c r="D4" s="16">
        <f t="shared" ref="D4:D29" si="0">B4*C4</f>
        <v>0</v>
      </c>
      <c r="H4" s="1"/>
      <c r="I4" s="2"/>
      <c r="J4" s="2"/>
    </row>
    <row r="5" spans="1:10">
      <c r="A5" s="13" t="s">
        <v>3</v>
      </c>
      <c r="B5" s="12">
        <v>4950</v>
      </c>
      <c r="C5" s="15">
        <v>0</v>
      </c>
      <c r="D5" s="16">
        <f t="shared" si="0"/>
        <v>0</v>
      </c>
      <c r="H5" s="1"/>
      <c r="I5" s="2"/>
      <c r="J5" s="2"/>
    </row>
    <row r="6" spans="1:10">
      <c r="A6" s="13" t="s">
        <v>4</v>
      </c>
      <c r="B6" s="12">
        <v>5750</v>
      </c>
      <c r="C6" s="15">
        <v>0</v>
      </c>
      <c r="D6" s="16">
        <f t="shared" si="0"/>
        <v>0</v>
      </c>
      <c r="H6" s="1"/>
      <c r="I6" s="2"/>
      <c r="J6" s="2"/>
    </row>
    <row r="7" spans="1:10">
      <c r="A7" s="13" t="s">
        <v>5</v>
      </c>
      <c r="B7" s="12">
        <v>10625</v>
      </c>
      <c r="C7" s="15">
        <v>0</v>
      </c>
      <c r="D7" s="16">
        <f t="shared" si="0"/>
        <v>0</v>
      </c>
      <c r="H7" s="1"/>
      <c r="I7" s="2"/>
      <c r="J7" s="2"/>
    </row>
    <row r="8" spans="1:10">
      <c r="A8" s="13" t="s">
        <v>45</v>
      </c>
      <c r="B8" s="12">
        <v>3900</v>
      </c>
      <c r="C8" s="15">
        <v>0</v>
      </c>
      <c r="D8" s="16">
        <f t="shared" si="0"/>
        <v>0</v>
      </c>
      <c r="H8" s="1"/>
      <c r="I8" s="2"/>
      <c r="J8" s="2"/>
    </row>
    <row r="9" spans="1:10">
      <c r="A9" s="13" t="s">
        <v>46</v>
      </c>
      <c r="B9" s="12">
        <v>4900</v>
      </c>
      <c r="C9" s="15">
        <v>0</v>
      </c>
      <c r="D9" s="16">
        <f t="shared" si="0"/>
        <v>0</v>
      </c>
      <c r="H9" s="1"/>
      <c r="I9" s="2"/>
      <c r="J9" s="2"/>
    </row>
    <row r="10" spans="1:10">
      <c r="A10" s="13" t="s">
        <v>7</v>
      </c>
      <c r="B10" s="12">
        <v>6525</v>
      </c>
      <c r="C10" s="15">
        <v>0</v>
      </c>
      <c r="D10" s="16">
        <f t="shared" si="0"/>
        <v>0</v>
      </c>
      <c r="H10" s="1"/>
      <c r="I10" s="2"/>
      <c r="J10" s="2"/>
    </row>
    <row r="11" spans="1:10">
      <c r="A11" s="13" t="s">
        <v>8</v>
      </c>
      <c r="B11" s="12">
        <v>3850</v>
      </c>
      <c r="C11" s="15">
        <v>0</v>
      </c>
      <c r="D11" s="16">
        <f t="shared" si="0"/>
        <v>0</v>
      </c>
      <c r="H11" s="1"/>
      <c r="I11" s="2"/>
      <c r="J11" s="2"/>
    </row>
    <row r="12" spans="1:10">
      <c r="A12" s="13" t="s">
        <v>10</v>
      </c>
      <c r="B12" s="12">
        <v>7600</v>
      </c>
      <c r="C12" s="15">
        <v>0</v>
      </c>
      <c r="D12" s="16">
        <f t="shared" si="0"/>
        <v>0</v>
      </c>
      <c r="H12" s="1"/>
      <c r="I12" s="2"/>
      <c r="J12" s="2"/>
    </row>
    <row r="13" spans="1:10">
      <c r="A13" s="13" t="s">
        <v>11</v>
      </c>
      <c r="B13" s="12">
        <v>5250</v>
      </c>
      <c r="C13" s="15">
        <v>0</v>
      </c>
      <c r="D13" s="16">
        <f t="shared" si="0"/>
        <v>0</v>
      </c>
      <c r="H13" s="1"/>
      <c r="I13" s="2"/>
      <c r="J13" s="2"/>
    </row>
    <row r="14" spans="1:10">
      <c r="A14" s="13" t="s">
        <v>12</v>
      </c>
      <c r="B14" s="12">
        <v>3400</v>
      </c>
      <c r="C14" s="15">
        <v>0</v>
      </c>
      <c r="D14" s="16">
        <f t="shared" si="0"/>
        <v>0</v>
      </c>
      <c r="H14" s="1"/>
      <c r="I14" s="2"/>
      <c r="J14" s="2"/>
    </row>
    <row r="15" spans="1:10">
      <c r="A15" s="13" t="s">
        <v>47</v>
      </c>
      <c r="B15" s="12">
        <v>6750</v>
      </c>
      <c r="C15" s="15">
        <v>0</v>
      </c>
      <c r="D15" s="16">
        <f t="shared" si="0"/>
        <v>0</v>
      </c>
      <c r="H15" s="1"/>
      <c r="I15" s="2"/>
      <c r="J15" s="2"/>
    </row>
    <row r="16" spans="1:10">
      <c r="A16" s="13" t="s">
        <v>14</v>
      </c>
      <c r="B16" s="12">
        <v>6130</v>
      </c>
      <c r="C16" s="15">
        <v>0</v>
      </c>
      <c r="D16" s="16">
        <f t="shared" si="0"/>
        <v>0</v>
      </c>
      <c r="H16" s="1"/>
      <c r="I16" s="2"/>
      <c r="J16" s="2"/>
    </row>
    <row r="17" spans="1:10">
      <c r="A17" s="13" t="s">
        <v>15</v>
      </c>
      <c r="B17" s="12">
        <v>1175</v>
      </c>
      <c r="C17" s="15">
        <v>0</v>
      </c>
      <c r="D17" s="16">
        <f t="shared" si="0"/>
        <v>0</v>
      </c>
      <c r="H17" s="1"/>
      <c r="I17" s="2"/>
      <c r="J17" s="2"/>
    </row>
    <row r="18" spans="1:10">
      <c r="A18" s="13" t="s">
        <v>17</v>
      </c>
      <c r="B18" s="12">
        <v>950</v>
      </c>
      <c r="C18" s="15">
        <v>0</v>
      </c>
      <c r="D18" s="16">
        <f>B18*C18</f>
        <v>0</v>
      </c>
      <c r="H18" s="1"/>
      <c r="I18" s="2"/>
      <c r="J18" s="2"/>
    </row>
    <row r="19" spans="1:10">
      <c r="A19" s="13" t="s">
        <v>19</v>
      </c>
      <c r="B19" s="12">
        <v>6175</v>
      </c>
      <c r="C19" s="15">
        <v>0</v>
      </c>
      <c r="D19" s="16">
        <f t="shared" si="0"/>
        <v>0</v>
      </c>
      <c r="H19" s="1"/>
      <c r="I19" s="2"/>
      <c r="J19" s="2"/>
    </row>
    <row r="20" spans="1:10">
      <c r="A20" s="13" t="s">
        <v>20</v>
      </c>
      <c r="B20" s="12">
        <v>2300</v>
      </c>
      <c r="C20" s="15">
        <v>0</v>
      </c>
      <c r="D20" s="16">
        <f t="shared" si="0"/>
        <v>0</v>
      </c>
      <c r="H20" s="1"/>
      <c r="I20" s="2"/>
      <c r="J20" s="2"/>
    </row>
    <row r="21" spans="1:10">
      <c r="A21" s="13" t="s">
        <v>21</v>
      </c>
      <c r="B21" s="12">
        <v>2300</v>
      </c>
      <c r="C21" s="15">
        <v>0</v>
      </c>
      <c r="D21" s="16">
        <f t="shared" si="0"/>
        <v>0</v>
      </c>
      <c r="H21" s="1"/>
      <c r="I21" s="2"/>
      <c r="J21" s="2"/>
    </row>
    <row r="22" spans="1:10">
      <c r="A22" s="13" t="s">
        <v>22</v>
      </c>
      <c r="B22" s="12">
        <v>9450</v>
      </c>
      <c r="C22" s="15">
        <v>0</v>
      </c>
      <c r="D22" s="16">
        <f t="shared" si="0"/>
        <v>0</v>
      </c>
      <c r="H22" s="1"/>
      <c r="I22" s="2"/>
      <c r="J22" s="2"/>
    </row>
    <row r="23" spans="1:10">
      <c r="A23" s="13" t="s">
        <v>23</v>
      </c>
      <c r="B23" s="12">
        <v>3525</v>
      </c>
      <c r="C23" s="15">
        <v>0</v>
      </c>
      <c r="D23" s="16">
        <f t="shared" si="0"/>
        <v>0</v>
      </c>
      <c r="H23" s="1"/>
      <c r="I23" s="2"/>
      <c r="J23" s="2"/>
    </row>
    <row r="24" spans="1:10">
      <c r="A24" s="11" t="s">
        <v>48</v>
      </c>
      <c r="B24" s="12">
        <v>2000</v>
      </c>
      <c r="C24" s="15">
        <v>0</v>
      </c>
      <c r="D24" s="16">
        <f t="shared" si="0"/>
        <v>0</v>
      </c>
      <c r="H24" s="1"/>
      <c r="I24" s="2"/>
      <c r="J24" s="2"/>
    </row>
    <row r="25" spans="1:10">
      <c r="A25" s="13" t="s">
        <v>24</v>
      </c>
      <c r="B25" s="12">
        <v>1050</v>
      </c>
      <c r="C25" s="15">
        <v>0</v>
      </c>
      <c r="D25" s="16">
        <f t="shared" si="0"/>
        <v>0</v>
      </c>
      <c r="H25" s="1"/>
      <c r="I25" s="2"/>
      <c r="J25" s="2"/>
    </row>
    <row r="26" spans="1:10">
      <c r="A26" s="13" t="s">
        <v>26</v>
      </c>
      <c r="B26" s="12">
        <v>6200</v>
      </c>
      <c r="C26" s="15">
        <v>0</v>
      </c>
      <c r="D26" s="16">
        <f t="shared" si="0"/>
        <v>0</v>
      </c>
      <c r="H26" s="1"/>
      <c r="I26" s="2"/>
      <c r="J26" s="2"/>
    </row>
    <row r="27" spans="1:10">
      <c r="A27" s="13" t="s">
        <v>28</v>
      </c>
      <c r="B27" s="12">
        <v>1900</v>
      </c>
      <c r="C27" s="15">
        <v>0</v>
      </c>
      <c r="D27" s="16">
        <f t="shared" si="0"/>
        <v>0</v>
      </c>
      <c r="H27" s="1"/>
      <c r="I27" s="2"/>
      <c r="J27" s="2"/>
    </row>
    <row r="28" spans="1:10">
      <c r="A28" s="11" t="s">
        <v>49</v>
      </c>
      <c r="B28" s="12">
        <v>400</v>
      </c>
      <c r="C28" s="15">
        <v>0.1</v>
      </c>
      <c r="D28" s="16">
        <f t="shared" si="0"/>
        <v>40</v>
      </c>
      <c r="H28" s="1"/>
      <c r="I28" s="2"/>
      <c r="J28" s="2"/>
    </row>
    <row r="29" spans="1:10" ht="15" thickBot="1">
      <c r="A29" s="13" t="s">
        <v>29</v>
      </c>
      <c r="B29" s="12">
        <v>4750</v>
      </c>
      <c r="C29" s="15">
        <v>0</v>
      </c>
      <c r="D29" s="16">
        <f t="shared" si="0"/>
        <v>0</v>
      </c>
      <c r="H29" s="1"/>
      <c r="I29" s="2"/>
      <c r="J29" s="2"/>
    </row>
    <row r="30" spans="1:10" ht="15" thickTop="1">
      <c r="A30" s="10"/>
      <c r="B30" s="14">
        <v>117555</v>
      </c>
      <c r="C30" s="15"/>
      <c r="H30" s="1"/>
      <c r="I30" s="2"/>
      <c r="J30" s="2"/>
    </row>
    <row r="31" spans="1:10">
      <c r="A31" s="9" t="s">
        <v>42</v>
      </c>
      <c r="B31" s="10"/>
      <c r="C31" s="15"/>
      <c r="H31" s="1"/>
      <c r="I31" s="2"/>
      <c r="J31" s="2"/>
    </row>
    <row r="32" spans="1:10">
      <c r="A32" s="13" t="s">
        <v>1</v>
      </c>
      <c r="B32" s="12">
        <v>100</v>
      </c>
      <c r="C32" s="15" t="s">
        <v>69</v>
      </c>
      <c r="D32" t="s">
        <v>70</v>
      </c>
      <c r="H32" s="1"/>
      <c r="I32" s="2"/>
      <c r="J32" s="2"/>
    </row>
    <row r="33" spans="1:10">
      <c r="A33" s="13" t="s">
        <v>2</v>
      </c>
      <c r="B33" s="12">
        <v>150</v>
      </c>
      <c r="C33" s="15">
        <v>7.0000000000000007E-2</v>
      </c>
      <c r="D33" s="16">
        <f>B33*C33</f>
        <v>10.500000000000002</v>
      </c>
      <c r="H33" s="1"/>
      <c r="I33" s="2"/>
      <c r="J33" s="2"/>
    </row>
    <row r="34" spans="1:10">
      <c r="A34" s="13" t="s">
        <v>43</v>
      </c>
      <c r="B34" s="12">
        <v>200</v>
      </c>
      <c r="C34" s="15">
        <v>0</v>
      </c>
      <c r="D34" s="16">
        <f>B34*C34</f>
        <v>0</v>
      </c>
      <c r="H34" s="1"/>
      <c r="I34" s="2"/>
      <c r="J34" s="2"/>
    </row>
    <row r="35" spans="1:10">
      <c r="A35" s="13" t="s">
        <v>50</v>
      </c>
      <c r="B35" s="12">
        <v>100</v>
      </c>
      <c r="C35" s="15">
        <v>0</v>
      </c>
      <c r="D35" s="16">
        <f t="shared" ref="D35:D48" si="1">B35*C35</f>
        <v>0</v>
      </c>
      <c r="H35" s="1"/>
      <c r="I35" s="2"/>
      <c r="J35" s="2"/>
    </row>
    <row r="36" spans="1:10">
      <c r="A36" s="13" t="s">
        <v>6</v>
      </c>
      <c r="B36" s="12">
        <v>725</v>
      </c>
      <c r="C36" s="15">
        <v>0</v>
      </c>
      <c r="D36" s="16">
        <f t="shared" si="1"/>
        <v>0</v>
      </c>
      <c r="H36" s="1"/>
      <c r="I36" s="2"/>
      <c r="J36" s="2"/>
    </row>
    <row r="37" spans="1:10">
      <c r="A37" s="13" t="s">
        <v>51</v>
      </c>
      <c r="B37" s="12">
        <v>100</v>
      </c>
      <c r="C37" s="15">
        <v>0</v>
      </c>
      <c r="D37" s="16">
        <f t="shared" si="1"/>
        <v>0</v>
      </c>
      <c r="H37" s="1"/>
      <c r="I37" s="2"/>
      <c r="J37" s="2"/>
    </row>
    <row r="38" spans="1:10">
      <c r="A38" s="11" t="s">
        <v>52</v>
      </c>
      <c r="B38" s="12">
        <v>650</v>
      </c>
      <c r="C38" s="15">
        <v>0</v>
      </c>
      <c r="D38" s="16">
        <f t="shared" si="1"/>
        <v>0</v>
      </c>
      <c r="H38" s="1"/>
      <c r="I38" s="2"/>
      <c r="J38" s="2"/>
    </row>
    <row r="39" spans="1:10">
      <c r="A39" s="13" t="s">
        <v>0</v>
      </c>
      <c r="B39" s="12">
        <v>0</v>
      </c>
      <c r="C39" s="15">
        <v>0</v>
      </c>
      <c r="D39" s="16">
        <f t="shared" si="1"/>
        <v>0</v>
      </c>
      <c r="H39" s="1"/>
      <c r="I39" s="2"/>
      <c r="J39" s="2"/>
    </row>
    <row r="40" spans="1:10" ht="25.5">
      <c r="A40" s="13" t="s">
        <v>9</v>
      </c>
      <c r="B40" s="12">
        <v>500</v>
      </c>
      <c r="C40" s="15">
        <v>0</v>
      </c>
      <c r="D40" s="16">
        <f t="shared" si="1"/>
        <v>0</v>
      </c>
      <c r="H40" s="1"/>
      <c r="I40" s="2"/>
      <c r="J40" s="2"/>
    </row>
    <row r="41" spans="1:10">
      <c r="A41" s="13" t="s">
        <v>44</v>
      </c>
      <c r="B41" s="12">
        <v>0</v>
      </c>
      <c r="C41" s="15">
        <v>0</v>
      </c>
      <c r="D41" s="16">
        <f t="shared" si="1"/>
        <v>0</v>
      </c>
      <c r="H41" s="1"/>
      <c r="I41" s="2"/>
      <c r="J41" s="2"/>
    </row>
    <row r="42" spans="1:10">
      <c r="A42" s="13" t="s">
        <v>3</v>
      </c>
      <c r="B42" s="12">
        <v>0</v>
      </c>
      <c r="C42" s="15">
        <v>0</v>
      </c>
      <c r="D42" s="16">
        <f t="shared" si="1"/>
        <v>0</v>
      </c>
      <c r="H42" s="1"/>
      <c r="I42" s="2"/>
      <c r="J42" s="2"/>
    </row>
    <row r="43" spans="1:10">
      <c r="A43" s="13" t="s">
        <v>13</v>
      </c>
      <c r="B43" s="12">
        <v>200</v>
      </c>
      <c r="C43" s="15">
        <v>0</v>
      </c>
      <c r="D43" s="16">
        <f t="shared" si="1"/>
        <v>0</v>
      </c>
      <c r="H43" s="1"/>
      <c r="I43" s="2"/>
      <c r="J43" s="2"/>
    </row>
    <row r="44" spans="1:10">
      <c r="A44" s="13" t="s">
        <v>4</v>
      </c>
      <c r="B44" s="12">
        <v>0</v>
      </c>
      <c r="C44" s="15">
        <v>0</v>
      </c>
      <c r="D44" s="16">
        <f t="shared" si="1"/>
        <v>0</v>
      </c>
      <c r="H44" s="1"/>
      <c r="I44" s="2"/>
      <c r="J44" s="2"/>
    </row>
    <row r="45" spans="1:10">
      <c r="A45" s="13" t="s">
        <v>5</v>
      </c>
      <c r="B45" s="12">
        <v>0</v>
      </c>
      <c r="C45" s="15">
        <v>0</v>
      </c>
      <c r="D45" s="16">
        <f t="shared" si="1"/>
        <v>0</v>
      </c>
      <c r="H45" s="1"/>
      <c r="I45" s="2"/>
      <c r="J45" s="2"/>
    </row>
    <row r="46" spans="1:10">
      <c r="A46" s="13" t="s">
        <v>16</v>
      </c>
      <c r="B46" s="12">
        <v>400</v>
      </c>
      <c r="C46" s="15">
        <v>0</v>
      </c>
      <c r="D46" s="16">
        <f t="shared" si="1"/>
        <v>0</v>
      </c>
      <c r="H46" s="1"/>
      <c r="I46" s="2"/>
      <c r="J46" s="2"/>
    </row>
    <row r="47" spans="1:10">
      <c r="A47" s="13" t="s">
        <v>18</v>
      </c>
      <c r="B47" s="12">
        <v>150</v>
      </c>
      <c r="C47" s="15">
        <v>0</v>
      </c>
      <c r="D47" s="16">
        <f t="shared" si="1"/>
        <v>0</v>
      </c>
      <c r="H47" s="1"/>
      <c r="I47" s="2"/>
      <c r="J47" s="2"/>
    </row>
    <row r="48" spans="1:10">
      <c r="A48" s="11" t="s">
        <v>53</v>
      </c>
      <c r="B48" s="12">
        <v>300</v>
      </c>
      <c r="C48" s="15">
        <v>0</v>
      </c>
      <c r="D48" s="16">
        <f t="shared" si="1"/>
        <v>0</v>
      </c>
      <c r="H48" s="1"/>
      <c r="I48" s="2"/>
      <c r="J48" s="2"/>
    </row>
    <row r="49" spans="1:10">
      <c r="A49" s="13" t="s">
        <v>54</v>
      </c>
      <c r="B49" s="12">
        <v>605</v>
      </c>
      <c r="C49" s="15">
        <v>0</v>
      </c>
      <c r="D49" s="16">
        <f>B49*C49</f>
        <v>0</v>
      </c>
      <c r="H49" s="1"/>
      <c r="I49" s="2"/>
      <c r="J49" s="2"/>
    </row>
    <row r="50" spans="1:10">
      <c r="A50" s="11" t="s">
        <v>55</v>
      </c>
      <c r="B50" s="12">
        <v>1</v>
      </c>
      <c r="C50" s="15">
        <v>0</v>
      </c>
      <c r="D50" s="16">
        <f t="shared" ref="D50:D95" si="2">B50*C50</f>
        <v>0</v>
      </c>
      <c r="H50" s="1"/>
      <c r="I50" s="2"/>
      <c r="J50" s="2"/>
    </row>
    <row r="51" spans="1:10">
      <c r="A51" s="13" t="s">
        <v>45</v>
      </c>
      <c r="B51" s="12">
        <v>0</v>
      </c>
      <c r="C51" s="15">
        <v>0</v>
      </c>
      <c r="D51" s="16">
        <f t="shared" si="2"/>
        <v>0</v>
      </c>
      <c r="H51" s="1"/>
      <c r="I51" s="2"/>
      <c r="J51" s="2"/>
    </row>
    <row r="52" spans="1:10">
      <c r="A52" s="11" t="s">
        <v>56</v>
      </c>
      <c r="B52" s="12">
        <v>105573</v>
      </c>
      <c r="C52" s="15">
        <v>0</v>
      </c>
      <c r="D52" s="16">
        <f t="shared" si="2"/>
        <v>0</v>
      </c>
      <c r="H52" s="1"/>
      <c r="I52" s="2"/>
      <c r="J52" s="2"/>
    </row>
    <row r="53" spans="1:10">
      <c r="A53" s="13" t="s">
        <v>46</v>
      </c>
      <c r="B53" s="12">
        <v>0</v>
      </c>
      <c r="C53" s="15">
        <v>0</v>
      </c>
      <c r="D53" s="16">
        <f t="shared" si="2"/>
        <v>0</v>
      </c>
      <c r="H53" s="1"/>
      <c r="I53" s="2"/>
      <c r="J53" s="2"/>
    </row>
    <row r="54" spans="1:10" ht="25.5">
      <c r="A54" s="13" t="s">
        <v>40</v>
      </c>
      <c r="B54" s="12">
        <v>150</v>
      </c>
      <c r="C54" s="15">
        <v>0</v>
      </c>
      <c r="D54" s="16">
        <f t="shared" si="2"/>
        <v>0</v>
      </c>
      <c r="H54" s="1"/>
      <c r="I54" s="2"/>
      <c r="J54" s="2"/>
    </row>
    <row r="55" spans="1:10">
      <c r="A55" s="13" t="s">
        <v>25</v>
      </c>
      <c r="B55" s="12">
        <v>350</v>
      </c>
      <c r="C55" s="15">
        <v>0</v>
      </c>
      <c r="D55" s="16">
        <f t="shared" si="2"/>
        <v>0</v>
      </c>
      <c r="H55" s="1"/>
      <c r="I55" s="2"/>
      <c r="J55" s="2"/>
    </row>
    <row r="56" spans="1:10">
      <c r="A56" s="13" t="s">
        <v>27</v>
      </c>
      <c r="B56" s="12">
        <v>100</v>
      </c>
      <c r="C56" s="15">
        <v>0</v>
      </c>
      <c r="D56" s="16">
        <f t="shared" si="2"/>
        <v>0</v>
      </c>
      <c r="H56" s="1"/>
      <c r="I56" s="2"/>
      <c r="J56" s="2"/>
    </row>
    <row r="57" spans="1:10">
      <c r="A57" s="11" t="s">
        <v>57</v>
      </c>
      <c r="B57" s="12">
        <v>150</v>
      </c>
      <c r="C57" s="15">
        <v>0</v>
      </c>
      <c r="D57" s="16">
        <f t="shared" si="2"/>
        <v>0</v>
      </c>
      <c r="H57" s="1"/>
      <c r="I57" s="2"/>
      <c r="J57" s="2"/>
    </row>
    <row r="58" spans="1:10">
      <c r="A58" s="13" t="s">
        <v>7</v>
      </c>
      <c r="B58" s="12">
        <v>0</v>
      </c>
      <c r="C58" s="15">
        <v>0</v>
      </c>
      <c r="D58" s="16">
        <f t="shared" si="2"/>
        <v>0</v>
      </c>
      <c r="H58" s="1"/>
      <c r="I58" s="2"/>
      <c r="J58" s="2"/>
    </row>
    <row r="59" spans="1:10">
      <c r="A59" s="13" t="s">
        <v>30</v>
      </c>
      <c r="B59" s="12">
        <v>500</v>
      </c>
      <c r="C59" s="15">
        <v>0.1</v>
      </c>
      <c r="D59" s="16">
        <f t="shared" si="2"/>
        <v>50</v>
      </c>
      <c r="H59" s="1"/>
      <c r="I59" s="2"/>
      <c r="J59" s="2"/>
    </row>
    <row r="60" spans="1:10">
      <c r="A60" s="13" t="s">
        <v>8</v>
      </c>
      <c r="B60" s="12">
        <v>0</v>
      </c>
      <c r="C60" s="15">
        <v>0</v>
      </c>
      <c r="D60" s="16">
        <f t="shared" si="2"/>
        <v>0</v>
      </c>
      <c r="H60" s="1"/>
      <c r="I60" s="2"/>
      <c r="J60" s="2"/>
    </row>
    <row r="61" spans="1:10">
      <c r="A61" s="13" t="s">
        <v>58</v>
      </c>
      <c r="B61" s="12">
        <v>200</v>
      </c>
      <c r="C61" s="15">
        <v>1</v>
      </c>
      <c r="D61" s="16">
        <f t="shared" si="2"/>
        <v>200</v>
      </c>
      <c r="H61" s="1"/>
      <c r="I61" s="2"/>
      <c r="J61" s="2"/>
    </row>
    <row r="62" spans="1:10">
      <c r="A62" s="13" t="s">
        <v>59</v>
      </c>
      <c r="B62" s="12">
        <v>350</v>
      </c>
      <c r="C62" s="15">
        <v>2</v>
      </c>
      <c r="D62" s="16">
        <f t="shared" si="2"/>
        <v>700</v>
      </c>
      <c r="H62" s="1"/>
      <c r="I62" s="2"/>
      <c r="J62" s="2"/>
    </row>
    <row r="63" spans="1:10">
      <c r="A63" s="13" t="s">
        <v>10</v>
      </c>
      <c r="B63" s="12">
        <v>0</v>
      </c>
      <c r="C63" s="15">
        <v>3</v>
      </c>
      <c r="D63" s="16">
        <f t="shared" si="2"/>
        <v>0</v>
      </c>
      <c r="H63" s="1"/>
      <c r="I63" s="2"/>
      <c r="J63" s="2"/>
    </row>
    <row r="64" spans="1:10">
      <c r="A64" s="13" t="s">
        <v>11</v>
      </c>
      <c r="B64" s="12">
        <v>0</v>
      </c>
      <c r="C64" s="15">
        <v>4</v>
      </c>
      <c r="D64" s="16">
        <f t="shared" si="2"/>
        <v>0</v>
      </c>
      <c r="H64" s="1"/>
      <c r="I64" s="2"/>
      <c r="J64" s="2"/>
    </row>
    <row r="65" spans="1:10">
      <c r="A65" s="13" t="s">
        <v>12</v>
      </c>
      <c r="B65" s="12">
        <v>0</v>
      </c>
      <c r="C65" s="15">
        <v>5</v>
      </c>
      <c r="D65" s="16">
        <f t="shared" si="2"/>
        <v>0</v>
      </c>
      <c r="H65" s="1"/>
      <c r="I65" s="2"/>
      <c r="J65" s="2"/>
    </row>
    <row r="66" spans="1:10">
      <c r="A66" s="13" t="s">
        <v>60</v>
      </c>
      <c r="B66" s="12">
        <v>0</v>
      </c>
      <c r="C66" s="15">
        <v>6</v>
      </c>
      <c r="D66" s="16">
        <f t="shared" si="2"/>
        <v>0</v>
      </c>
      <c r="H66" s="1"/>
      <c r="I66" s="2"/>
      <c r="J66" s="2"/>
    </row>
    <row r="67" spans="1:10">
      <c r="A67" s="13" t="s">
        <v>14</v>
      </c>
      <c r="B67" s="12">
        <v>0</v>
      </c>
      <c r="C67" s="15">
        <v>7</v>
      </c>
      <c r="D67" s="16">
        <f t="shared" si="2"/>
        <v>0</v>
      </c>
    </row>
    <row r="68" spans="1:10">
      <c r="A68" s="13" t="s">
        <v>15</v>
      </c>
      <c r="B68" s="12">
        <v>0</v>
      </c>
      <c r="C68" s="15">
        <v>8</v>
      </c>
      <c r="D68" s="16">
        <f t="shared" si="2"/>
        <v>0</v>
      </c>
    </row>
    <row r="69" spans="1:10">
      <c r="A69" s="13" t="s">
        <v>17</v>
      </c>
      <c r="B69" s="12">
        <v>0</v>
      </c>
      <c r="C69" s="15">
        <v>9</v>
      </c>
      <c r="D69" s="16">
        <f t="shared" si="2"/>
        <v>0</v>
      </c>
    </row>
    <row r="70" spans="1:10">
      <c r="A70" s="13" t="s">
        <v>31</v>
      </c>
      <c r="B70" s="12">
        <v>400</v>
      </c>
      <c r="C70" s="15">
        <v>10</v>
      </c>
      <c r="D70" s="16">
        <f t="shared" si="2"/>
        <v>4000</v>
      </c>
    </row>
    <row r="71" spans="1:10">
      <c r="A71" s="13" t="s">
        <v>19</v>
      </c>
      <c r="B71" s="12">
        <v>0</v>
      </c>
      <c r="C71" s="15">
        <v>11</v>
      </c>
      <c r="D71" s="16">
        <f t="shared" si="2"/>
        <v>0</v>
      </c>
    </row>
    <row r="72" spans="1:10">
      <c r="A72" s="11" t="s">
        <v>61</v>
      </c>
      <c r="B72" s="12">
        <v>700</v>
      </c>
      <c r="C72" s="15">
        <v>12</v>
      </c>
      <c r="D72" s="16">
        <f t="shared" si="2"/>
        <v>8400</v>
      </c>
    </row>
    <row r="73" spans="1:10">
      <c r="A73" s="13" t="s">
        <v>20</v>
      </c>
      <c r="B73" s="12">
        <v>0</v>
      </c>
      <c r="C73" s="15">
        <v>13</v>
      </c>
      <c r="D73" s="16">
        <f t="shared" si="2"/>
        <v>0</v>
      </c>
    </row>
    <row r="74" spans="1:10">
      <c r="A74" s="13" t="s">
        <v>32</v>
      </c>
      <c r="B74" s="12">
        <v>300</v>
      </c>
      <c r="C74" s="15">
        <v>14</v>
      </c>
      <c r="D74" s="16">
        <f t="shared" si="2"/>
        <v>4200</v>
      </c>
    </row>
    <row r="75" spans="1:10">
      <c r="A75" s="13" t="s">
        <v>33</v>
      </c>
      <c r="B75" s="12">
        <v>600</v>
      </c>
      <c r="C75" s="15">
        <v>15</v>
      </c>
      <c r="D75" s="16">
        <f t="shared" si="2"/>
        <v>9000</v>
      </c>
    </row>
    <row r="76" spans="1:10">
      <c r="A76" s="13" t="s">
        <v>34</v>
      </c>
      <c r="B76" s="12">
        <v>150</v>
      </c>
      <c r="C76" s="15">
        <v>16</v>
      </c>
      <c r="D76" s="16">
        <f t="shared" si="2"/>
        <v>2400</v>
      </c>
    </row>
    <row r="77" spans="1:10">
      <c r="A77" s="11" t="s">
        <v>62</v>
      </c>
      <c r="B77" s="12">
        <v>1</v>
      </c>
      <c r="C77" s="15">
        <v>17</v>
      </c>
      <c r="D77" s="16">
        <f t="shared" si="2"/>
        <v>17</v>
      </c>
    </row>
    <row r="78" spans="1:10">
      <c r="A78" s="13" t="s">
        <v>21</v>
      </c>
      <c r="B78" s="12">
        <v>0</v>
      </c>
      <c r="C78" s="15">
        <v>18</v>
      </c>
      <c r="D78" s="16">
        <f t="shared" si="2"/>
        <v>0</v>
      </c>
    </row>
    <row r="79" spans="1:10">
      <c r="A79" s="13" t="s">
        <v>22</v>
      </c>
      <c r="B79" s="12">
        <v>0</v>
      </c>
      <c r="C79" s="15">
        <v>19</v>
      </c>
      <c r="D79" s="16">
        <f t="shared" si="2"/>
        <v>0</v>
      </c>
    </row>
    <row r="80" spans="1:10">
      <c r="A80" s="13" t="s">
        <v>35</v>
      </c>
      <c r="B80" s="12">
        <v>1050</v>
      </c>
      <c r="C80" s="15">
        <v>20</v>
      </c>
      <c r="D80" s="16">
        <f t="shared" si="2"/>
        <v>21000</v>
      </c>
    </row>
    <row r="81" spans="1:4">
      <c r="A81" s="13" t="s">
        <v>36</v>
      </c>
      <c r="B81" s="12">
        <v>400</v>
      </c>
      <c r="C81" s="15">
        <v>21</v>
      </c>
      <c r="D81" s="16">
        <f t="shared" si="2"/>
        <v>8400</v>
      </c>
    </row>
    <row r="82" spans="1:4">
      <c r="A82" s="13" t="s">
        <v>37</v>
      </c>
      <c r="B82" s="12">
        <v>200</v>
      </c>
      <c r="C82" s="15">
        <v>22</v>
      </c>
      <c r="D82" s="16">
        <f t="shared" si="2"/>
        <v>4400</v>
      </c>
    </row>
    <row r="83" spans="1:4">
      <c r="A83" s="13" t="s">
        <v>23</v>
      </c>
      <c r="B83" s="12">
        <v>0</v>
      </c>
      <c r="C83" s="15">
        <v>23</v>
      </c>
      <c r="D83" s="16">
        <f t="shared" si="2"/>
        <v>0</v>
      </c>
    </row>
    <row r="84" spans="1:4">
      <c r="A84" s="13" t="s">
        <v>63</v>
      </c>
      <c r="B84" s="12">
        <v>200</v>
      </c>
      <c r="C84" s="15">
        <v>24</v>
      </c>
      <c r="D84" s="16">
        <f t="shared" si="2"/>
        <v>4800</v>
      </c>
    </row>
    <row r="85" spans="1:4">
      <c r="A85" s="13" t="s">
        <v>48</v>
      </c>
      <c r="B85" s="12">
        <v>0</v>
      </c>
      <c r="C85" s="15">
        <v>25</v>
      </c>
      <c r="D85" s="16">
        <f t="shared" si="2"/>
        <v>0</v>
      </c>
    </row>
    <row r="86" spans="1:4">
      <c r="A86" s="13" t="s">
        <v>38</v>
      </c>
      <c r="B86" s="12">
        <v>100</v>
      </c>
      <c r="C86" s="15">
        <v>26</v>
      </c>
      <c r="D86" s="16">
        <f t="shared" si="2"/>
        <v>2600</v>
      </c>
    </row>
    <row r="87" spans="1:4">
      <c r="A87" s="13" t="s">
        <v>39</v>
      </c>
      <c r="B87" s="12">
        <v>350</v>
      </c>
      <c r="C87" s="15">
        <v>27</v>
      </c>
      <c r="D87" s="16">
        <f t="shared" si="2"/>
        <v>9450</v>
      </c>
    </row>
    <row r="88" spans="1:4">
      <c r="A88" s="11" t="s">
        <v>64</v>
      </c>
      <c r="B88" s="12">
        <v>150</v>
      </c>
      <c r="C88" s="15">
        <v>28</v>
      </c>
      <c r="D88" s="16">
        <f t="shared" si="2"/>
        <v>4200</v>
      </c>
    </row>
    <row r="89" spans="1:4">
      <c r="A89" s="13" t="s">
        <v>24</v>
      </c>
      <c r="B89" s="12">
        <v>0</v>
      </c>
      <c r="C89" s="15">
        <v>29</v>
      </c>
      <c r="D89" s="16">
        <f t="shared" si="2"/>
        <v>0</v>
      </c>
    </row>
    <row r="90" spans="1:4">
      <c r="A90" s="13" t="s">
        <v>26</v>
      </c>
      <c r="B90" s="12">
        <v>0</v>
      </c>
      <c r="C90" s="15">
        <v>30</v>
      </c>
      <c r="D90" s="16">
        <f t="shared" si="2"/>
        <v>0</v>
      </c>
    </row>
    <row r="91" spans="1:4">
      <c r="A91" s="11" t="s">
        <v>65</v>
      </c>
      <c r="B91" s="12">
        <v>1200</v>
      </c>
      <c r="C91" s="15">
        <v>31</v>
      </c>
      <c r="D91" s="16">
        <f t="shared" si="2"/>
        <v>37200</v>
      </c>
    </row>
    <row r="92" spans="1:4">
      <c r="A92" s="13" t="s">
        <v>28</v>
      </c>
      <c r="B92" s="12">
        <v>0</v>
      </c>
      <c r="C92" s="15">
        <v>32</v>
      </c>
      <c r="D92" s="16">
        <f t="shared" si="2"/>
        <v>0</v>
      </c>
    </row>
    <row r="93" spans="1:4">
      <c r="A93" s="11" t="s">
        <v>49</v>
      </c>
      <c r="B93" s="12">
        <v>0</v>
      </c>
      <c r="C93" s="15">
        <v>33</v>
      </c>
      <c r="D93" s="16">
        <f t="shared" si="2"/>
        <v>0</v>
      </c>
    </row>
    <row r="94" spans="1:4">
      <c r="A94" s="13" t="s">
        <v>29</v>
      </c>
      <c r="B94" s="12">
        <v>0</v>
      </c>
      <c r="C94" s="15">
        <v>34</v>
      </c>
      <c r="D94" s="16">
        <f t="shared" si="2"/>
        <v>0</v>
      </c>
    </row>
    <row r="95" spans="1:4">
      <c r="A95" s="11" t="s">
        <v>66</v>
      </c>
      <c r="B95" s="12">
        <v>200</v>
      </c>
      <c r="C95" s="15">
        <v>35</v>
      </c>
      <c r="D95" s="16">
        <f t="shared" si="2"/>
        <v>7000</v>
      </c>
    </row>
    <row r="96" spans="1:4" ht="15" thickBot="1">
      <c r="A96" s="6"/>
      <c r="B96" s="7"/>
    </row>
    <row r="97" spans="1:2" ht="15" thickTop="1">
      <c r="A97" s="5"/>
      <c r="B97" s="8"/>
    </row>
  </sheetData>
  <pageMargins left="0" right="0" top="0.39370078740157477" bottom="0.39370078740157477" header="0" footer="0"/>
  <headerFooter>
    <oddHeader>&amp;C&amp;A</oddHeader>
    <oddFooter>&amp;CPágina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J95"/>
  <sheetViews>
    <sheetView workbookViewId="0">
      <selection activeCell="D3" sqref="D3"/>
    </sheetView>
  </sheetViews>
  <sheetFormatPr baseColWidth="10" defaultRowHeight="14.25"/>
  <cols>
    <col min="1" max="1" width="30.25" customWidth="1"/>
    <col min="2" max="2" width="19" customWidth="1"/>
    <col min="3" max="3" width="12.625" style="3" customWidth="1"/>
    <col min="4" max="4" width="14.5" customWidth="1"/>
    <col min="5" max="7" width="10.625" customWidth="1"/>
    <col min="8" max="8" width="12.125" customWidth="1"/>
    <col min="9" max="9" width="10.625" customWidth="1"/>
    <col min="10" max="10" width="14.5" customWidth="1"/>
  </cols>
  <sheetData>
    <row r="1" spans="1:10">
      <c r="A1" t="s">
        <v>67</v>
      </c>
      <c r="C1" s="15" t="s">
        <v>69</v>
      </c>
      <c r="D1" t="s">
        <v>70</v>
      </c>
    </row>
    <row r="2" spans="1:10">
      <c r="A2" s="11" t="s">
        <v>68</v>
      </c>
      <c r="B2" s="12">
        <v>1520</v>
      </c>
      <c r="C2" s="15">
        <v>7.0000000000000007E-2</v>
      </c>
      <c r="D2" s="16">
        <f>B2*C2</f>
        <v>106.4</v>
      </c>
    </row>
    <row r="3" spans="1:10">
      <c r="A3" s="13"/>
      <c r="B3" s="12"/>
      <c r="C3" s="15"/>
      <c r="D3" s="16"/>
      <c r="H3" s="1"/>
      <c r="I3" s="2"/>
      <c r="J3" s="2"/>
    </row>
    <row r="4" spans="1:10">
      <c r="A4" s="11"/>
      <c r="B4" s="12"/>
      <c r="C4" s="15"/>
      <c r="D4" s="16"/>
      <c r="H4" s="1"/>
      <c r="I4" s="2"/>
      <c r="J4" s="2"/>
    </row>
    <row r="5" spans="1:10">
      <c r="A5" s="13"/>
      <c r="B5" s="12"/>
      <c r="C5" s="15"/>
      <c r="D5" s="16"/>
      <c r="H5" s="1"/>
      <c r="I5" s="2"/>
      <c r="J5" s="2"/>
    </row>
    <row r="6" spans="1:10">
      <c r="A6" s="13"/>
      <c r="B6" s="12"/>
      <c r="C6" s="15"/>
      <c r="D6" s="16"/>
      <c r="H6" s="1"/>
      <c r="I6" s="2"/>
      <c r="J6" s="2"/>
    </row>
    <row r="7" spans="1:10">
      <c r="A7" s="13"/>
      <c r="B7" s="12"/>
      <c r="C7" s="15"/>
      <c r="D7" s="16"/>
      <c r="H7" s="1"/>
      <c r="I7" s="2"/>
      <c r="J7" s="2"/>
    </row>
    <row r="8" spans="1:10">
      <c r="A8" s="13"/>
      <c r="B8" s="12"/>
      <c r="C8" s="15"/>
      <c r="D8" s="16"/>
      <c r="H8" s="1"/>
      <c r="I8" s="2"/>
      <c r="J8" s="2"/>
    </row>
    <row r="9" spans="1:10">
      <c r="A9" s="13"/>
      <c r="B9" s="12"/>
      <c r="C9" s="15"/>
      <c r="D9" s="16"/>
      <c r="H9" s="1"/>
      <c r="I9" s="2"/>
      <c r="J9" s="2"/>
    </row>
    <row r="10" spans="1:10">
      <c r="A10" s="13"/>
      <c r="B10" s="12"/>
      <c r="C10" s="15"/>
      <c r="D10" s="16"/>
      <c r="H10" s="1"/>
      <c r="I10" s="2"/>
      <c r="J10" s="2"/>
    </row>
    <row r="11" spans="1:10">
      <c r="A11" s="13"/>
      <c r="B11" s="12"/>
      <c r="C11" s="15"/>
      <c r="D11" s="16"/>
      <c r="H11" s="1"/>
      <c r="I11" s="2"/>
      <c r="J11" s="2"/>
    </row>
    <row r="12" spans="1:10">
      <c r="A12" s="13"/>
      <c r="B12" s="12"/>
      <c r="C12" s="15"/>
      <c r="D12" s="16"/>
      <c r="H12" s="1"/>
      <c r="I12" s="2"/>
      <c r="J12" s="2"/>
    </row>
    <row r="13" spans="1:10">
      <c r="A13" s="13"/>
      <c r="B13" s="12"/>
      <c r="C13" s="15"/>
      <c r="D13" s="16"/>
      <c r="H13" s="1"/>
      <c r="I13" s="2"/>
      <c r="J13" s="2"/>
    </row>
    <row r="14" spans="1:10">
      <c r="A14" s="13"/>
      <c r="B14" s="12"/>
      <c r="C14" s="15"/>
      <c r="D14" s="16"/>
      <c r="H14" s="1"/>
      <c r="I14" s="2"/>
      <c r="J14" s="2"/>
    </row>
    <row r="15" spans="1:10">
      <c r="A15" s="13"/>
      <c r="B15" s="12"/>
      <c r="C15" s="15"/>
      <c r="D15" s="16"/>
      <c r="H15" s="1"/>
      <c r="I15" s="2"/>
      <c r="J15" s="2"/>
    </row>
    <row r="16" spans="1:10">
      <c r="A16" s="13"/>
      <c r="B16" s="12"/>
      <c r="C16" s="15"/>
      <c r="D16" s="16"/>
      <c r="H16" s="1"/>
      <c r="I16" s="2"/>
      <c r="J16" s="2"/>
    </row>
    <row r="17" spans="1:10">
      <c r="A17" s="13"/>
      <c r="B17" s="12"/>
      <c r="C17" s="15"/>
      <c r="D17" s="16"/>
      <c r="H17" s="1"/>
      <c r="I17" s="2"/>
      <c r="J17" s="2"/>
    </row>
    <row r="18" spans="1:10">
      <c r="A18" s="13"/>
      <c r="B18" s="12"/>
      <c r="C18" s="15"/>
      <c r="D18" s="16"/>
      <c r="H18" s="1"/>
      <c r="I18" s="2"/>
      <c r="J18" s="2"/>
    </row>
    <row r="19" spans="1:10">
      <c r="A19" s="13"/>
      <c r="B19" s="12"/>
      <c r="C19" s="15"/>
      <c r="D19" s="16"/>
      <c r="H19" s="1"/>
      <c r="I19" s="2"/>
      <c r="J19" s="2"/>
    </row>
    <row r="20" spans="1:10">
      <c r="A20" s="13"/>
      <c r="B20" s="12"/>
      <c r="C20" s="15"/>
      <c r="D20" s="16"/>
      <c r="H20" s="1"/>
      <c r="I20" s="2"/>
      <c r="J20" s="2"/>
    </row>
    <row r="21" spans="1:10">
      <c r="A21" s="13"/>
      <c r="B21" s="12"/>
      <c r="C21" s="15"/>
      <c r="D21" s="16"/>
      <c r="H21" s="1"/>
      <c r="I21" s="2"/>
      <c r="J21" s="2"/>
    </row>
    <row r="22" spans="1:10">
      <c r="A22" s="13"/>
      <c r="B22" s="12"/>
      <c r="C22" s="15"/>
      <c r="D22" s="16"/>
      <c r="H22" s="1"/>
      <c r="I22" s="2"/>
      <c r="J22" s="2"/>
    </row>
    <row r="23" spans="1:10">
      <c r="A23" s="13"/>
      <c r="B23" s="12"/>
      <c r="C23" s="15"/>
      <c r="D23" s="16"/>
      <c r="H23" s="1"/>
      <c r="I23" s="2"/>
      <c r="J23" s="2"/>
    </row>
    <row r="24" spans="1:10">
      <c r="A24" s="11"/>
      <c r="B24" s="12"/>
      <c r="C24" s="15"/>
      <c r="D24" s="16"/>
      <c r="H24" s="1"/>
      <c r="I24" s="2"/>
      <c r="J24" s="2"/>
    </row>
    <row r="25" spans="1:10">
      <c r="A25" s="13"/>
      <c r="B25" s="12"/>
      <c r="C25" s="15"/>
      <c r="D25" s="16"/>
      <c r="H25" s="1"/>
      <c r="I25" s="2"/>
      <c r="J25" s="2"/>
    </row>
    <row r="26" spans="1:10">
      <c r="A26" s="13"/>
      <c r="B26" s="12"/>
      <c r="C26" s="15"/>
      <c r="D26" s="16"/>
      <c r="H26" s="1"/>
      <c r="I26" s="2"/>
      <c r="J26" s="2"/>
    </row>
    <row r="27" spans="1:10">
      <c r="A27" s="13"/>
      <c r="B27" s="12"/>
      <c r="C27" s="15"/>
      <c r="D27" s="16"/>
      <c r="H27" s="1"/>
      <c r="I27" s="2"/>
      <c r="J27" s="2"/>
    </row>
    <row r="28" spans="1:10">
      <c r="A28" s="11"/>
      <c r="B28" s="12"/>
      <c r="C28" s="15"/>
      <c r="D28" s="16"/>
      <c r="H28" s="1"/>
      <c r="I28" s="2"/>
      <c r="J28" s="2"/>
    </row>
    <row r="29" spans="1:10">
      <c r="A29" s="13"/>
      <c r="B29" s="12"/>
      <c r="C29" s="15"/>
      <c r="D29" s="16"/>
      <c r="H29" s="1"/>
      <c r="I29" s="2"/>
      <c r="J29" s="2"/>
    </row>
    <row r="30" spans="1:10" ht="15" thickBot="1">
      <c r="A30" s="1"/>
      <c r="B30" s="2"/>
      <c r="C30" s="15"/>
      <c r="H30" s="1"/>
      <c r="I30" s="2"/>
      <c r="J30" s="2"/>
    </row>
    <row r="31" spans="1:10" ht="15" thickTop="1">
      <c r="B31" s="4"/>
      <c r="C31" s="15"/>
      <c r="H31" s="1"/>
      <c r="I31" s="2"/>
      <c r="J31" s="2"/>
    </row>
    <row r="32" spans="1:10">
      <c r="C32" s="15"/>
      <c r="H32" s="1"/>
      <c r="I32" s="2"/>
      <c r="J32" s="2"/>
    </row>
    <row r="33" spans="3:10">
      <c r="C33" s="15"/>
      <c r="D33" s="16"/>
      <c r="H33" s="1"/>
      <c r="I33" s="2"/>
      <c r="J33" s="2"/>
    </row>
    <row r="34" spans="3:10">
      <c r="C34" s="15"/>
      <c r="D34" s="16"/>
      <c r="H34" s="1"/>
      <c r="I34" s="2"/>
      <c r="J34" s="2"/>
    </row>
    <row r="35" spans="3:10">
      <c r="C35" s="15"/>
      <c r="D35" s="16"/>
      <c r="H35" s="1"/>
      <c r="I35" s="2"/>
      <c r="J35" s="2"/>
    </row>
    <row r="36" spans="3:10">
      <c r="C36" s="15"/>
      <c r="D36" s="16"/>
      <c r="H36" s="1"/>
      <c r="I36" s="2"/>
      <c r="J36" s="2"/>
    </row>
    <row r="37" spans="3:10">
      <c r="C37" s="15"/>
      <c r="D37" s="16"/>
      <c r="H37" s="1"/>
      <c r="I37" s="2"/>
      <c r="J37" s="2"/>
    </row>
    <row r="38" spans="3:10">
      <c r="C38" s="15"/>
      <c r="D38" s="16"/>
      <c r="H38" s="1"/>
      <c r="I38" s="2"/>
      <c r="J38" s="2"/>
    </row>
    <row r="39" spans="3:10">
      <c r="C39" s="15"/>
      <c r="D39" s="16"/>
      <c r="H39" s="1"/>
      <c r="I39" s="2"/>
      <c r="J39" s="2"/>
    </row>
    <row r="40" spans="3:10">
      <c r="C40" s="15"/>
      <c r="D40" s="16"/>
      <c r="H40" s="1"/>
      <c r="I40" s="2"/>
      <c r="J40" s="2"/>
    </row>
    <row r="41" spans="3:10">
      <c r="C41" s="15"/>
      <c r="D41" s="16"/>
      <c r="H41" s="1"/>
      <c r="I41" s="2"/>
      <c r="J41" s="2"/>
    </row>
    <row r="42" spans="3:10">
      <c r="C42" s="15"/>
      <c r="D42" s="16"/>
      <c r="H42" s="1"/>
      <c r="I42" s="2"/>
      <c r="J42" s="2"/>
    </row>
    <row r="43" spans="3:10">
      <c r="C43" s="15"/>
      <c r="D43" s="16"/>
      <c r="H43" s="1"/>
      <c r="I43" s="2"/>
      <c r="J43" s="2"/>
    </row>
    <row r="44" spans="3:10">
      <c r="C44" s="15"/>
      <c r="D44" s="16"/>
      <c r="H44" s="1"/>
      <c r="I44" s="2"/>
      <c r="J44" s="2"/>
    </row>
    <row r="45" spans="3:10">
      <c r="C45" s="15"/>
      <c r="D45" s="16"/>
      <c r="H45" s="1"/>
      <c r="I45" s="2"/>
      <c r="J45" s="2"/>
    </row>
    <row r="46" spans="3:10">
      <c r="C46" s="15"/>
      <c r="D46" s="16"/>
      <c r="H46" s="1"/>
      <c r="I46" s="2"/>
      <c r="J46" s="2"/>
    </row>
    <row r="47" spans="3:10">
      <c r="C47" s="15"/>
      <c r="D47" s="16"/>
      <c r="H47" s="1"/>
      <c r="I47" s="2"/>
      <c r="J47" s="2"/>
    </row>
    <row r="48" spans="3:10">
      <c r="C48" s="15"/>
      <c r="D48" s="16"/>
      <c r="H48" s="1"/>
      <c r="I48" s="2"/>
      <c r="J48" s="2"/>
    </row>
    <row r="49" spans="3:10">
      <c r="C49" s="15"/>
      <c r="D49" s="16"/>
      <c r="H49" s="1"/>
      <c r="I49" s="2"/>
      <c r="J49" s="2"/>
    </row>
    <row r="50" spans="3:10">
      <c r="C50" s="15"/>
      <c r="D50" s="16"/>
      <c r="H50" s="1"/>
      <c r="I50" s="2"/>
      <c r="J50" s="2"/>
    </row>
    <row r="51" spans="3:10">
      <c r="C51" s="15"/>
      <c r="D51" s="16"/>
      <c r="H51" s="1"/>
      <c r="I51" s="2"/>
      <c r="J51" s="2"/>
    </row>
    <row r="52" spans="3:10">
      <c r="C52" s="15"/>
      <c r="D52" s="16"/>
      <c r="H52" s="1"/>
      <c r="I52" s="2"/>
      <c r="J52" s="2"/>
    </row>
    <row r="53" spans="3:10">
      <c r="C53" s="15"/>
      <c r="D53" s="16"/>
      <c r="H53" s="1"/>
      <c r="I53" s="2"/>
      <c r="J53" s="2"/>
    </row>
    <row r="54" spans="3:10">
      <c r="C54" s="15"/>
      <c r="D54" s="16"/>
      <c r="H54" s="1"/>
      <c r="I54" s="2"/>
      <c r="J54" s="2"/>
    </row>
    <row r="55" spans="3:10">
      <c r="C55" s="15"/>
      <c r="D55" s="16"/>
      <c r="H55" s="1"/>
      <c r="I55" s="2"/>
      <c r="J55" s="2"/>
    </row>
    <row r="56" spans="3:10">
      <c r="C56" s="15"/>
      <c r="D56" s="16"/>
      <c r="H56" s="1"/>
      <c r="I56" s="2"/>
      <c r="J56" s="2"/>
    </row>
    <row r="57" spans="3:10">
      <c r="C57" s="15"/>
      <c r="D57" s="16"/>
      <c r="H57" s="1"/>
      <c r="I57" s="2"/>
      <c r="J57" s="2"/>
    </row>
    <row r="58" spans="3:10">
      <c r="C58" s="15"/>
      <c r="D58" s="16"/>
      <c r="H58" s="1"/>
      <c r="I58" s="2"/>
      <c r="J58" s="2"/>
    </row>
    <row r="59" spans="3:10">
      <c r="C59" s="15"/>
      <c r="D59" s="16"/>
      <c r="H59" s="1"/>
      <c r="I59" s="2"/>
      <c r="J59" s="2"/>
    </row>
    <row r="60" spans="3:10">
      <c r="C60" s="15"/>
      <c r="D60" s="16"/>
      <c r="H60" s="1"/>
      <c r="I60" s="2"/>
      <c r="J60" s="2"/>
    </row>
    <row r="61" spans="3:10">
      <c r="C61" s="15"/>
      <c r="D61" s="16"/>
      <c r="H61" s="1"/>
      <c r="I61" s="2"/>
      <c r="J61" s="2"/>
    </row>
    <row r="62" spans="3:10">
      <c r="C62" s="15"/>
      <c r="D62" s="16"/>
      <c r="H62" s="1"/>
      <c r="I62" s="2"/>
      <c r="J62" s="2"/>
    </row>
    <row r="63" spans="3:10">
      <c r="C63" s="15"/>
      <c r="D63" s="16"/>
      <c r="H63" s="1"/>
      <c r="I63" s="2"/>
      <c r="J63" s="2"/>
    </row>
    <row r="64" spans="3:10">
      <c r="C64" s="15"/>
      <c r="D64" s="16"/>
      <c r="H64" s="1"/>
      <c r="I64" s="2"/>
      <c r="J64" s="2"/>
    </row>
    <row r="65" spans="3:10">
      <c r="C65" s="15"/>
      <c r="D65" s="16"/>
      <c r="H65" s="1"/>
      <c r="I65" s="2"/>
      <c r="J65" s="2"/>
    </row>
    <row r="66" spans="3:10">
      <c r="C66" s="15"/>
      <c r="D66" s="16"/>
      <c r="H66" s="1"/>
      <c r="I66" s="2"/>
      <c r="J66" s="2"/>
    </row>
    <row r="67" spans="3:10">
      <c r="C67" s="15"/>
      <c r="D67" s="16"/>
    </row>
    <row r="68" spans="3:10">
      <c r="C68" s="15"/>
      <c r="D68" s="16"/>
    </row>
    <row r="69" spans="3:10">
      <c r="C69" s="15"/>
      <c r="D69" s="16"/>
    </row>
    <row r="70" spans="3:10">
      <c r="C70" s="15"/>
      <c r="D70" s="16"/>
    </row>
    <row r="71" spans="3:10">
      <c r="C71" s="15"/>
      <c r="D71" s="16"/>
    </row>
    <row r="72" spans="3:10">
      <c r="C72" s="15"/>
      <c r="D72" s="16"/>
    </row>
    <row r="73" spans="3:10">
      <c r="C73" s="15"/>
      <c r="D73" s="16"/>
    </row>
    <row r="74" spans="3:10">
      <c r="C74" s="15"/>
      <c r="D74" s="16"/>
    </row>
    <row r="75" spans="3:10">
      <c r="C75" s="15"/>
      <c r="D75" s="16"/>
    </row>
    <row r="76" spans="3:10">
      <c r="C76" s="15"/>
      <c r="D76" s="16"/>
    </row>
    <row r="77" spans="3:10">
      <c r="C77" s="15"/>
      <c r="D77" s="16"/>
    </row>
    <row r="78" spans="3:10">
      <c r="C78" s="15"/>
      <c r="D78" s="16"/>
    </row>
    <row r="79" spans="3:10">
      <c r="C79" s="15"/>
      <c r="D79" s="16"/>
    </row>
    <row r="80" spans="3:10">
      <c r="C80" s="15"/>
      <c r="D80" s="16"/>
    </row>
    <row r="81" spans="3:4">
      <c r="C81" s="15"/>
      <c r="D81" s="16"/>
    </row>
    <row r="82" spans="3:4">
      <c r="C82" s="15"/>
      <c r="D82" s="16"/>
    </row>
    <row r="83" spans="3:4">
      <c r="C83" s="15"/>
      <c r="D83" s="16"/>
    </row>
    <row r="84" spans="3:4">
      <c r="C84" s="15"/>
      <c r="D84" s="16"/>
    </row>
    <row r="85" spans="3:4">
      <c r="C85" s="15"/>
      <c r="D85" s="16"/>
    </row>
    <row r="86" spans="3:4">
      <c r="C86" s="15"/>
      <c r="D86" s="16"/>
    </row>
    <row r="87" spans="3:4">
      <c r="C87" s="15"/>
      <c r="D87" s="16"/>
    </row>
    <row r="88" spans="3:4">
      <c r="C88" s="15"/>
      <c r="D88" s="16"/>
    </row>
    <row r="89" spans="3:4">
      <c r="C89" s="15"/>
      <c r="D89" s="16"/>
    </row>
    <row r="90" spans="3:4">
      <c r="C90" s="15"/>
      <c r="D90" s="16"/>
    </row>
    <row r="91" spans="3:4">
      <c r="C91" s="15"/>
      <c r="D91" s="16"/>
    </row>
    <row r="92" spans="3:4">
      <c r="C92" s="15"/>
      <c r="D92" s="16"/>
    </row>
    <row r="93" spans="3:4">
      <c r="C93" s="15"/>
      <c r="D93" s="16"/>
    </row>
    <row r="94" spans="3:4">
      <c r="C94" s="15"/>
      <c r="D94" s="16"/>
    </row>
    <row r="95" spans="3:4">
      <c r="C95" s="15"/>
      <c r="D95" s="16"/>
    </row>
  </sheetData>
  <pageMargins left="0" right="0" top="0.39370078740157477" bottom="0.39370078740157477" header="0" footer="0"/>
  <pageSetup paperSize="0" orientation="portrait" horizontalDpi="0" verticalDpi="0" copies="0"/>
  <headerFooter>
    <oddHeader>&amp;C&amp;A</oddHeader>
    <oddFooter>&amp;CPágina &amp;P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hisWorkbook.AgregarHojas" altText="Crear archivo importador">
                <anchor moveWithCells="1" sizeWithCells="1">
                  <from>
                    <xdr:col>4</xdr:col>
                    <xdr:colOff>161925</xdr:colOff>
                    <xdr:row>1</xdr:row>
                    <xdr:rowOff>19050</xdr:rowOff>
                  </from>
                  <to>
                    <xdr:col>7</xdr:col>
                    <xdr:colOff>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29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Importador</vt:lpstr>
      <vt:lpstr>LUNES</vt:lpstr>
      <vt:lpstr>MARTES</vt:lpstr>
      <vt:lpstr>MIERCOLES</vt:lpstr>
      <vt:lpstr>JUEVES</vt:lpstr>
      <vt:lpstr>VIERNES</vt:lpstr>
      <vt:lpstr>SABADO</vt:lpstr>
      <vt:lpstr>DOMINGO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</cp:lastModifiedBy>
  <cp:revision>3</cp:revision>
  <dcterms:created xsi:type="dcterms:W3CDTF">2020-08-20T12:35:11Z</dcterms:created>
  <dcterms:modified xsi:type="dcterms:W3CDTF">2020-08-27T23:12:47Z</dcterms:modified>
</cp:coreProperties>
</file>